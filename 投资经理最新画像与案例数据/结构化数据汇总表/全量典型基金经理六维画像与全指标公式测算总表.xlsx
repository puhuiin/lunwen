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维得分公式测算总表" sheetId="1" state="visible" r:id="rId1"/>
    <sheet xmlns:r="http://schemas.openxmlformats.org/officeDocument/2006/relationships" name="典型基金季度行为明细" sheetId="2" state="visible" r:id="rId2"/>
    <sheet xmlns:r="http://schemas.openxmlformats.org/officeDocument/2006/relationships" name="362只基准分布参数" sheetId="3" state="visible" r:id="rId3"/>
    <sheet xmlns:r="http://schemas.openxmlformats.org/officeDocument/2006/relationships" name="巴菲特60年业绩与13F持仓" sheetId="4" state="visible" r:id="rId4"/>
    <sheet xmlns:r="http://schemas.openxmlformats.org/officeDocument/2006/relationships" name="彼得林奇1977-1990业绩" sheetId="5" state="visible" r:id="rId5"/>
    <sheet xmlns:r="http://schemas.openxmlformats.org/officeDocument/2006/relationships" name="段永平25年业绩与13F持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"/>
    <numFmt numFmtId="166" formatCode="0.0%"/>
    <numFmt numFmtId="167" formatCode="+0.0%;-0.0%;0.0%"/>
    <numFmt numFmtId="168" formatCode="+0.00%;-0.00%;0.00%"/>
    <numFmt numFmtId="169" formatCode="yyyy-mm-dd h:mm:ss"/>
    <numFmt numFmtId="170" formatCode="#,##0.0"/>
  </numFmts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E293B"/>
      <sz val="9"/>
    </font>
    <font>
      <name val="微软雅黑"/>
      <b val="1"/>
      <color rgb="0092400E"/>
      <sz val="9"/>
    </font>
    <font>
      <name val="Consolas"/>
      <b val="1"/>
      <color rgb="0078350F"/>
      <sz val="9"/>
    </font>
    <font>
      <name val="微软雅黑"/>
      <color rgb="000F172A"/>
      <sz val="9"/>
    </font>
    <font>
      <name val="微软雅黑"/>
      <b val="1"/>
      <color rgb="000F172A"/>
      <sz val="9"/>
    </font>
    <font>
      <name val="Consolas"/>
      <b val="1"/>
      <color rgb="000369A1"/>
      <sz val="9"/>
    </font>
    <font>
      <name val="Consolas"/>
      <b val="1"/>
      <color rgb="00B91C1C"/>
      <sz val="9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color rgb="000369A1"/>
      <sz val="10"/>
    </font>
    <font>
      <name val="Segoe UI"/>
      <b val="1"/>
      <color rgb="0015803D"/>
      <sz val="10"/>
    </font>
    <font>
      <name val="Segoe UI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7C3AED"/>
        <bgColor rgb="007C3AED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8" fillId="13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right" vertical="center"/>
    </xf>
    <xf numFmtId="2" fontId="5" fillId="14" borderId="1" applyAlignment="1" pivotButton="0" quotePrefix="0" xfId="0">
      <alignment horizontal="right" vertical="center"/>
    </xf>
    <xf numFmtId="164" fontId="5" fillId="14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166" fontId="8" fillId="14" borderId="1" applyAlignment="1" pivotButton="0" quotePrefix="0" xfId="0">
      <alignment horizontal="right" vertical="center"/>
    </xf>
    <xf numFmtId="167" fontId="8" fillId="14" borderId="1" applyAlignment="1" pivotButton="0" quotePrefix="0" xfId="0">
      <alignment horizontal="right" vertical="center"/>
    </xf>
    <xf numFmtId="10" fontId="5" fillId="14" borderId="1" applyAlignment="1" pivotButton="0" quotePrefix="0" xfId="0">
      <alignment horizontal="right" vertical="center"/>
    </xf>
    <xf numFmtId="168" fontId="5" fillId="14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right" vertical="center"/>
    </xf>
    <xf numFmtId="0" fontId="9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3" fontId="9" fillId="14" borderId="1" applyAlignment="1" pivotButton="0" quotePrefix="0" xfId="0">
      <alignment horizontal="right" vertical="center"/>
    </xf>
    <xf numFmtId="2" fontId="9" fillId="14" borderId="1" applyAlignment="1" pivotButton="0" quotePrefix="0" xfId="0">
      <alignment horizontal="right" vertical="center"/>
    </xf>
    <xf numFmtId="164" fontId="9" fillId="14" borderId="1" applyAlignment="1" pivotButton="0" quotePrefix="0" xfId="0">
      <alignment horizontal="right" vertical="center"/>
    </xf>
    <xf numFmtId="165" fontId="11" fillId="14" borderId="1" applyAlignment="1" pivotButton="0" quotePrefix="0" xfId="0">
      <alignment horizontal="right" vertical="center"/>
    </xf>
    <xf numFmtId="166" fontId="12" fillId="15" borderId="1" applyAlignment="1" pivotButton="0" quotePrefix="0" xfId="0">
      <alignment horizontal="right" vertical="center"/>
    </xf>
    <xf numFmtId="166" fontId="12" fillId="14" borderId="1" applyAlignment="1" pivotButton="0" quotePrefix="0" xfId="0">
      <alignment horizontal="right" vertical="center"/>
    </xf>
    <xf numFmtId="167" fontId="12" fillId="14" borderId="1" applyAlignment="1" pivotButton="0" quotePrefix="0" xfId="0">
      <alignment horizontal="right" vertical="center"/>
    </xf>
    <xf numFmtId="10" fontId="9" fillId="14" borderId="1" applyAlignment="1" pivotButton="0" quotePrefix="0" xfId="0">
      <alignment horizontal="right" vertical="center"/>
    </xf>
    <xf numFmtId="168" fontId="9" fillId="14" borderId="1" applyAlignment="1" pivotButton="0" quotePrefix="0" xfId="0">
      <alignment horizontal="right" vertical="center"/>
    </xf>
    <xf numFmtId="0" fontId="13" fillId="16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1"/>
  <sheetViews>
    <sheetView showGridLines="1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【基本身份信息】</t>
        </is>
      </c>
      <c r="E1" s="3" t="inlineStr">
        <is>
          <t>【16项底层原始行为指标数值 (X)】</t>
        </is>
      </c>
      <c r="U1" s="4" t="inlineStr">
        <is>
          <t>【调仓与换手辅助业务指标】</t>
        </is>
      </c>
      <c r="AA1" s="5" t="inlineStr">
        <is>
          <t>【16项指标标准化 Z-Score 动态公式 (Z)】</t>
        </is>
      </c>
      <c r="AQ1" s="6" t="inlineStr">
        <is>
          <t>【六维能力复合得分动态公式 (S)】</t>
        </is>
      </c>
      <c r="AW1" s="7" t="inlineStr">
        <is>
          <t>【六维能力经验百分位动态公式 (P)】</t>
        </is>
      </c>
      <c r="BC1" s="8" t="inlineStr">
        <is>
          <t>【纯行为与全六维综合画像解耦测算】</t>
        </is>
      </c>
      <c r="BH1" s="9" t="inlineStr">
        <is>
          <t>【中长期业绩验证指标】</t>
        </is>
      </c>
    </row>
    <row r="2">
      <c r="A2" s="10" t="inlineStr">
        <is>
          <t>序号</t>
        </is>
      </c>
      <c r="B2" s="10" t="inlineStr">
        <is>
          <t>基金经理</t>
        </is>
      </c>
      <c r="C2" s="10" t="inlineStr">
        <is>
          <t>代表产品 / 机构</t>
        </is>
      </c>
      <c r="D2" s="10" t="inlineStr">
        <is>
          <t>行为风格定位</t>
        </is>
      </c>
      <c r="E2" s="10" t="inlineStr">
        <is>
          <t>L1_任期天数(mgr_tenure)</t>
        </is>
      </c>
      <c r="F2" s="10" t="inlineStr">
        <is>
          <t>L1_基金年龄(log_age)</t>
        </is>
      </c>
      <c r="G2" s="10" t="inlineStr">
        <is>
          <t>L1_资产规模(log_aum)</t>
        </is>
      </c>
      <c r="H2" s="10" t="inlineStr">
        <is>
          <t>L2_风险不对称(risk_asym)</t>
        </is>
      </c>
      <c r="I2" s="10" t="inlineStr">
        <is>
          <t>L2_处置效应(de)</t>
        </is>
      </c>
      <c r="J2" s="10" t="inlineStr">
        <is>
          <t>L2_过度自信(oc_conf)</t>
        </is>
      </c>
      <c r="K2" s="10" t="inlineStr">
        <is>
          <t>L2_高位锚定(anchor_high)</t>
        </is>
      </c>
      <c r="L2" s="10" t="inlineStr">
        <is>
          <t>L3_行业集中度(ICI)</t>
        </is>
      </c>
      <c r="M2" s="10" t="inlineStr">
        <is>
          <t>L3_行业风格漂移(ISDI)</t>
        </is>
      </c>
      <c r="N2" s="10" t="inlineStr">
        <is>
          <t>L4_调仓超额(ARG)</t>
        </is>
      </c>
      <c r="O2" s="10" t="inlineStr">
        <is>
          <t>L4_择时能力(timing)</t>
        </is>
      </c>
      <c r="P2" s="10" t="inlineStr">
        <is>
          <t>L5_抗操纵绩效(mppm8)</t>
        </is>
      </c>
      <c r="Q2" s="10" t="inlineStr">
        <is>
          <t>L5_索提诺比率(sortino8)</t>
        </is>
      </c>
      <c r="R2" s="10" t="inlineStr">
        <is>
          <t>L5_夏普比率(sharpe8)</t>
        </is>
      </c>
      <c r="S2" s="10" t="inlineStr">
        <is>
          <t>L6_风格离散度(SDI)</t>
        </is>
      </c>
      <c r="T2" s="10" t="inlineStr">
        <is>
          <t>L6_共识交易度(lsv)</t>
        </is>
      </c>
      <c r="U2" s="10" t="inlineStr">
        <is>
          <t>年化换手率(TO_wind)%</t>
        </is>
      </c>
      <c r="V2" s="10" t="inlineStr">
        <is>
          <t>双边换手率(TO_two)%</t>
        </is>
      </c>
      <c r="W2" s="10" t="inlineStr">
        <is>
          <t>季度买入(total_buy)%</t>
        </is>
      </c>
      <c r="X2" s="10" t="inlineStr">
        <is>
          <t>季度卖出(total_sell)%</t>
        </is>
      </c>
      <c r="Y2" s="10" t="inlineStr">
        <is>
          <t>盈利卖出PGR</t>
        </is>
      </c>
      <c r="Z2" s="10" t="inlineStr">
        <is>
          <t>亏损卖出PLR</t>
        </is>
      </c>
      <c r="AA2" s="10" t="inlineStr">
        <is>
          <t>z_任期(tenure)</t>
        </is>
      </c>
      <c r="AB2" s="10" t="inlineStr">
        <is>
          <t>z_年龄(age)</t>
        </is>
      </c>
      <c r="AC2" s="10" t="inlineStr">
        <is>
          <t>z_规模(aum)</t>
        </is>
      </c>
      <c r="AD2" s="10" t="inlineStr">
        <is>
          <t>z_不对称(asym)</t>
        </is>
      </c>
      <c r="AE2" s="10" t="inlineStr">
        <is>
          <t>z_处置(de)</t>
        </is>
      </c>
      <c r="AF2" s="10" t="inlineStr">
        <is>
          <t>z_自信(oc)</t>
        </is>
      </c>
      <c r="AG2" s="10" t="inlineStr">
        <is>
          <t>z_锚定(anchor)</t>
        </is>
      </c>
      <c r="AH2" s="10" t="inlineStr">
        <is>
          <t>z_集中(ICI)</t>
        </is>
      </c>
      <c r="AI2" s="10" t="inlineStr">
        <is>
          <t>z_行业漂移(ISDI)</t>
        </is>
      </c>
      <c r="AJ2" s="10" t="inlineStr">
        <is>
          <t>z_调仓(ARG)</t>
        </is>
      </c>
      <c r="AK2" s="10" t="inlineStr">
        <is>
          <t>z_择时(timing)</t>
        </is>
      </c>
      <c r="AL2" s="10" t="inlineStr">
        <is>
          <t>z_绩效(mppm)</t>
        </is>
      </c>
      <c r="AM2" s="10" t="inlineStr">
        <is>
          <t>z_索提诺(sortino)</t>
        </is>
      </c>
      <c r="AN2" s="10" t="inlineStr">
        <is>
          <t>z_夏普(sharpe)</t>
        </is>
      </c>
      <c r="AO2" s="10" t="inlineStr">
        <is>
          <t>z_个股漂移(SDI)</t>
        </is>
      </c>
      <c r="AP2" s="10" t="inlineStr">
        <is>
          <t>z_共识(lsv)</t>
        </is>
      </c>
      <c r="AQ2" s="10" t="inlineStr">
        <is>
          <t>①背景条件得分</t>
        </is>
      </c>
      <c r="AR2" s="10" t="inlineStr">
        <is>
          <t>②认知质量得分</t>
        </is>
      </c>
      <c r="AS2" s="10" t="inlineStr">
        <is>
          <t>③配置能力得分</t>
        </is>
      </c>
      <c r="AT2" s="10" t="inlineStr">
        <is>
          <t>④操作质量得分</t>
        </is>
      </c>
      <c r="AU2" s="10" t="inlineStr">
        <is>
          <t>⑤风险转化效率得分</t>
        </is>
      </c>
      <c r="AV2" s="10" t="inlineStr">
        <is>
          <t>⑥交易特征得分</t>
        </is>
      </c>
      <c r="AW2" s="10" t="inlineStr">
        <is>
          <t>①背景条件分位</t>
        </is>
      </c>
      <c r="AX2" s="10" t="inlineStr">
        <is>
          <t>②认知质量分位</t>
        </is>
      </c>
      <c r="AY2" s="10" t="inlineStr">
        <is>
          <t>③配置能力分位</t>
        </is>
      </c>
      <c r="AZ2" s="10" t="inlineStr">
        <is>
          <t>④操作质量分位</t>
        </is>
      </c>
      <c r="BA2" s="10" t="inlineStr">
        <is>
          <t>⑤风险转化效率分位</t>
        </is>
      </c>
      <c r="BB2" s="10" t="inlineStr">
        <is>
          <t>⑥交易特征分位</t>
        </is>
      </c>
      <c r="BC2" s="10" t="inlineStr">
        <is>
          <t>纯行为五维得分</t>
        </is>
      </c>
      <c r="BD2" s="10" t="inlineStr">
        <is>
          <t>纯行为五维分位</t>
        </is>
      </c>
      <c r="BE2" s="10" t="inlineStr">
        <is>
          <t>全六维综合得分</t>
        </is>
      </c>
      <c r="BF2" s="10" t="inlineStr">
        <is>
          <t>全六维综合分位</t>
        </is>
      </c>
      <c r="BG2" s="10" t="inlineStr">
        <is>
          <t>规模约束压制差</t>
        </is>
      </c>
      <c r="BH2" s="10" t="inlineStr">
        <is>
          <t>年化收益率</t>
        </is>
      </c>
      <c r="BI2" s="10" t="inlineStr">
        <is>
          <t>年化波动率</t>
        </is>
      </c>
      <c r="BJ2" s="10" t="inlineStr">
        <is>
          <t>最大回撤</t>
        </is>
      </c>
      <c r="BK2" s="10" t="inlineStr">
        <is>
          <t>超额Alpha</t>
        </is>
      </c>
    </row>
    <row r="3">
      <c r="A3" s="11" t="inlineStr">
        <is>
          <t>基准参数</t>
        </is>
      </c>
      <c r="B3" s="11" t="inlineStr">
        <is>
          <t>362只存续样本均值 (μ)</t>
        </is>
      </c>
      <c r="C3" s="11" t="inlineStr">
        <is>
          <t>基准统计量</t>
        </is>
      </c>
      <c r="D3" s="11" t="inlineStr">
        <is>
          <t>基准参照均值</t>
        </is>
      </c>
      <c r="E3" s="12" t="n">
        <v>1051.3754</v>
      </c>
      <c r="F3" s="12" t="n">
        <v>1.3898</v>
      </c>
      <c r="G3" s="12" t="n">
        <v>1.6206</v>
      </c>
      <c r="H3" s="12" t="n">
        <v>0.0448</v>
      </c>
      <c r="I3" s="12" t="n">
        <v>-0.1337</v>
      </c>
      <c r="J3" s="12" t="n">
        <v>-3.0713</v>
      </c>
      <c r="K3" s="12" t="n">
        <v>0.8394</v>
      </c>
      <c r="L3" s="12" t="n">
        <v>0.2897</v>
      </c>
      <c r="M3" s="12" t="n">
        <v>0.2402</v>
      </c>
      <c r="N3" s="12" t="n">
        <v>0.1649</v>
      </c>
      <c r="O3" s="12" t="n">
        <v>0.9119</v>
      </c>
      <c r="P3" s="12" t="n">
        <v>0.0269</v>
      </c>
      <c r="Q3" s="12" t="n">
        <v>0.2457</v>
      </c>
      <c r="R3" s="12" t="n">
        <v>0.133</v>
      </c>
      <c r="S3" s="12" t="n">
        <v>0.2337</v>
      </c>
      <c r="T3" s="12" t="n">
        <v>0.09089999999999999</v>
      </c>
      <c r="U3" s="12" t="n">
        <v>185.6</v>
      </c>
      <c r="V3" s="12" t="n">
        <v>220.4</v>
      </c>
      <c r="W3" s="12" t="n">
        <v>35.2</v>
      </c>
      <c r="X3" s="12" t="n">
        <v>33.8</v>
      </c>
      <c r="Y3" s="12" t="n">
        <v>0.58</v>
      </c>
      <c r="Z3" s="12" t="n">
        <v>0.38</v>
      </c>
      <c r="AA3" s="12" t="n">
        <v>1051.3754</v>
      </c>
      <c r="AB3" s="12" t="n">
        <v>1.3898</v>
      </c>
      <c r="AC3" s="12" t="n">
        <v>1.6206</v>
      </c>
      <c r="AD3" s="12" t="n">
        <v>0.0448</v>
      </c>
      <c r="AE3" s="12" t="n">
        <v>-0.1337</v>
      </c>
      <c r="AF3" s="12" t="n">
        <v>-3.0713</v>
      </c>
      <c r="AG3" s="12" t="n">
        <v>0.8394</v>
      </c>
      <c r="AH3" s="12" t="n">
        <v>0.2897</v>
      </c>
      <c r="AI3" s="12" t="n">
        <v>0.2402</v>
      </c>
      <c r="AJ3" s="12" t="n">
        <v>0.1649</v>
      </c>
      <c r="AK3" s="12" t="n">
        <v>0.9119</v>
      </c>
      <c r="AL3" s="12" t="n">
        <v>0.0269</v>
      </c>
      <c r="AM3" s="12" t="n">
        <v>0.2457</v>
      </c>
      <c r="AN3" s="12" t="n">
        <v>0.133</v>
      </c>
      <c r="AO3" s="12" t="n">
        <v>0.2337</v>
      </c>
      <c r="AP3" s="12" t="n">
        <v>0.09089999999999999</v>
      </c>
      <c r="AQ3" s="12" t="n">
        <v>-0.1198</v>
      </c>
      <c r="AR3" s="12" t="n">
        <v>-0.1156</v>
      </c>
      <c r="AS3" s="12" t="n">
        <v>-0.1217</v>
      </c>
      <c r="AT3" s="12" t="n">
        <v>-0.0842</v>
      </c>
      <c r="AU3" s="12" t="n">
        <v>-0.1472</v>
      </c>
      <c r="AV3" s="12" t="n">
        <v>-0.0465</v>
      </c>
      <c r="AW3" s="12" t="inlineStr">
        <is>
          <t>标准正态</t>
        </is>
      </c>
      <c r="AX3" s="12" t="inlineStr">
        <is>
          <t>标准正态</t>
        </is>
      </c>
      <c r="AY3" s="12" t="inlineStr">
        <is>
          <t>标准正态</t>
        </is>
      </c>
      <c r="AZ3" s="12" t="inlineStr">
        <is>
          <t>标准正态</t>
        </is>
      </c>
      <c r="BA3" s="12" t="inlineStr">
        <is>
          <t>标准正态</t>
        </is>
      </c>
      <c r="BB3" s="12" t="inlineStr">
        <is>
          <t>标准正态</t>
        </is>
      </c>
      <c r="BC3" s="12" t="n"/>
      <c r="BD3" s="12" t="n"/>
      <c r="BE3" s="12" t="n">
        <v>-0.1058</v>
      </c>
      <c r="BF3" s="12" t="inlineStr">
        <is>
          <t>正态分布</t>
        </is>
      </c>
      <c r="BG3" s="12" t="inlineStr">
        <is>
          <t>纯行为-综合</t>
        </is>
      </c>
      <c r="BH3" s="12" t="n"/>
      <c r="BI3" s="12" t="n"/>
      <c r="BJ3" s="12" t="n"/>
      <c r="BK3" s="12" t="n"/>
    </row>
    <row r="4">
      <c r="A4" s="11" t="inlineStr">
        <is>
          <t>基准参数</t>
        </is>
      </c>
      <c r="B4" s="11" t="inlineStr">
        <is>
          <t>362只存续样本标差 (σ)</t>
        </is>
      </c>
      <c r="C4" s="11" t="inlineStr">
        <is>
          <t>基准离散度</t>
        </is>
      </c>
      <c r="D4" s="11" t="inlineStr">
        <is>
          <t>基准参照标准差</t>
        </is>
      </c>
      <c r="E4" s="12" t="n">
        <v>833.2808</v>
      </c>
      <c r="F4" s="12" t="n">
        <v>1.0148</v>
      </c>
      <c r="G4" s="12" t="n">
        <v>1.2365</v>
      </c>
      <c r="H4" s="12" t="n">
        <v>0.0527</v>
      </c>
      <c r="I4" s="12" t="n">
        <v>0.07480000000000001</v>
      </c>
      <c r="J4" s="12" t="n">
        <v>23.3185</v>
      </c>
      <c r="K4" s="12" t="n">
        <v>0.0493</v>
      </c>
      <c r="L4" s="12" t="n">
        <v>0.1574</v>
      </c>
      <c r="M4" s="12" t="n">
        <v>0.1289</v>
      </c>
      <c r="N4" s="12" t="n">
        <v>0.1121</v>
      </c>
      <c r="O4" s="12" t="n">
        <v>0.7785</v>
      </c>
      <c r="P4" s="12" t="n">
        <v>0.1095</v>
      </c>
      <c r="Q4" s="12" t="n">
        <v>0.7892</v>
      </c>
      <c r="R4" s="12" t="n">
        <v>0.2172</v>
      </c>
      <c r="S4" s="12" t="n">
        <v>0.23</v>
      </c>
      <c r="T4" s="12" t="n">
        <v>0.0191</v>
      </c>
      <c r="U4" s="12" t="inlineStr">
        <is>
          <t>-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-</t>
        </is>
      </c>
      <c r="Z4" s="12" t="inlineStr">
        <is>
          <t>-</t>
        </is>
      </c>
      <c r="AA4" s="12" t="n">
        <v>833.2808</v>
      </c>
      <c r="AB4" s="12" t="n">
        <v>1.0148</v>
      </c>
      <c r="AC4" s="12" t="n">
        <v>1.2365</v>
      </c>
      <c r="AD4" s="12" t="n">
        <v>0.0527</v>
      </c>
      <c r="AE4" s="12" t="n">
        <v>0.07480000000000001</v>
      </c>
      <c r="AF4" s="12" t="n">
        <v>23.3185</v>
      </c>
      <c r="AG4" s="12" t="n">
        <v>0.0493</v>
      </c>
      <c r="AH4" s="12" t="n">
        <v>0.1574</v>
      </c>
      <c r="AI4" s="12" t="n">
        <v>0.1289</v>
      </c>
      <c r="AJ4" s="12" t="n">
        <v>0.1121</v>
      </c>
      <c r="AK4" s="12" t="n">
        <v>0.7785</v>
      </c>
      <c r="AL4" s="12" t="n">
        <v>0.1095</v>
      </c>
      <c r="AM4" s="12" t="n">
        <v>0.7892</v>
      </c>
      <c r="AN4" s="12" t="n">
        <v>0.2172</v>
      </c>
      <c r="AO4" s="12" t="n">
        <v>0.23</v>
      </c>
      <c r="AP4" s="12" t="n">
        <v>0.0191</v>
      </c>
      <c r="AQ4" s="12" t="n">
        <v>0.7607</v>
      </c>
      <c r="AR4" s="12" t="n">
        <v>0.4373</v>
      </c>
      <c r="AS4" s="12" t="n">
        <v>0.8011</v>
      </c>
      <c r="AT4" s="12" t="n">
        <v>0.6584</v>
      </c>
      <c r="AU4" s="12" t="n">
        <v>0.6614</v>
      </c>
      <c r="AV4" s="12" t="n">
        <v>0.7884</v>
      </c>
      <c r="AW4" s="12" t="inlineStr">
        <is>
          <t>CDF累积</t>
        </is>
      </c>
      <c r="AX4" s="12" t="inlineStr">
        <is>
          <t>CDF累积</t>
        </is>
      </c>
      <c r="AY4" s="12" t="inlineStr">
        <is>
          <t>CDF累积</t>
        </is>
      </c>
      <c r="AZ4" s="12" t="inlineStr">
        <is>
          <t>CDF累积</t>
        </is>
      </c>
      <c r="BA4" s="12" t="inlineStr">
        <is>
          <t>CDF累积</t>
        </is>
      </c>
      <c r="BB4" s="12" t="inlineStr">
        <is>
          <t>CDF累积</t>
        </is>
      </c>
      <c r="BC4" s="12" t="n"/>
      <c r="BD4" s="12" t="n"/>
      <c r="BE4" s="12" t="n">
        <v>0.4068</v>
      </c>
      <c r="BF4" s="12" t="inlineStr">
        <is>
          <t>经验分位</t>
        </is>
      </c>
      <c r="BG4" s="12" t="inlineStr">
        <is>
          <t>规模压制</t>
        </is>
      </c>
      <c r="BH4" s="12" t="n"/>
      <c r="BI4" s="12" t="n"/>
      <c r="BJ4" s="12" t="n"/>
      <c r="BK4" s="12" t="n"/>
    </row>
    <row r="5">
      <c r="A5" s="11" t="inlineStr">
        <is>
          <t>理论方向</t>
        </is>
      </c>
      <c r="B5" s="11" t="inlineStr">
        <is>
          <t>理论符号方向 (sign)</t>
        </is>
      </c>
      <c r="C5" s="11" t="inlineStr">
        <is>
          <t>定向加权</t>
        </is>
      </c>
      <c r="D5" s="11" t="inlineStr">
        <is>
          <t>+1正向 / -1负向</t>
        </is>
      </c>
      <c r="E5" s="12" t="inlineStr">
        <is>
          <t>-1</t>
        </is>
      </c>
      <c r="F5" s="12" t="inlineStr">
        <is>
          <t>-1</t>
        </is>
      </c>
      <c r="G5" s="12" t="inlineStr">
        <is>
          <t>-1</t>
        </is>
      </c>
      <c r="H5" s="12" t="inlineStr">
        <is>
          <t>+1</t>
        </is>
      </c>
      <c r="I5" s="12" t="inlineStr">
        <is>
          <t>-1</t>
        </is>
      </c>
      <c r="J5" s="12" t="inlineStr">
        <is>
          <t>-1</t>
        </is>
      </c>
      <c r="K5" s="12" t="inlineStr">
        <is>
          <t>+1</t>
        </is>
      </c>
      <c r="L5" s="12" t="inlineStr">
        <is>
          <t>+1</t>
        </is>
      </c>
      <c r="M5" s="12" t="inlineStr">
        <is>
          <t>-1</t>
        </is>
      </c>
      <c r="N5" s="12" t="inlineStr">
        <is>
          <t>+1</t>
        </is>
      </c>
      <c r="O5" s="12" t="inlineStr">
        <is>
          <t>+1</t>
        </is>
      </c>
      <c r="P5" s="12" t="inlineStr">
        <is>
          <t>+1</t>
        </is>
      </c>
      <c r="Q5" s="12" t="inlineStr">
        <is>
          <t>+1</t>
        </is>
      </c>
      <c r="R5" s="12" t="inlineStr">
        <is>
          <t>+1</t>
        </is>
      </c>
      <c r="S5" s="12" t="inlineStr">
        <is>
          <t>-1</t>
        </is>
      </c>
      <c r="T5" s="12" t="inlineStr">
        <is>
          <t>+1</t>
        </is>
      </c>
      <c r="U5" s="12" t="inlineStr">
        <is>
          <t>辅助</t>
        </is>
      </c>
      <c r="V5" s="12" t="inlineStr">
        <is>
          <t>辅助</t>
        </is>
      </c>
      <c r="W5" s="12" t="inlineStr">
        <is>
          <t>辅助</t>
        </is>
      </c>
      <c r="X5" s="12" t="inlineStr">
        <is>
          <t>辅助</t>
        </is>
      </c>
      <c r="Y5" s="12" t="inlineStr">
        <is>
          <t>辅助</t>
        </is>
      </c>
      <c r="Z5" s="12" t="inlineStr">
        <is>
          <t>辅助</t>
        </is>
      </c>
      <c r="AA5" s="12" t="n">
        <v>-1</v>
      </c>
      <c r="AB5" s="12" t="n">
        <v>-1</v>
      </c>
      <c r="AC5" s="12" t="n">
        <v>-1</v>
      </c>
      <c r="AD5" s="12" t="n">
        <v>1</v>
      </c>
      <c r="AE5" s="12" t="n">
        <v>-1</v>
      </c>
      <c r="AF5" s="12" t="n">
        <v>-1</v>
      </c>
      <c r="AG5" s="12" t="n">
        <v>1</v>
      </c>
      <c r="AH5" s="12" t="n">
        <v>1</v>
      </c>
      <c r="AI5" s="12" t="n">
        <v>-1</v>
      </c>
      <c r="AJ5" s="12" t="n">
        <v>1</v>
      </c>
      <c r="AK5" s="12" t="n">
        <v>1</v>
      </c>
      <c r="AL5" s="12" t="n">
        <v>1</v>
      </c>
      <c r="AM5" s="12" t="n">
        <v>1</v>
      </c>
      <c r="AN5" s="12" t="n">
        <v>1</v>
      </c>
      <c r="AO5" s="12" t="n">
        <v>-1</v>
      </c>
      <c r="AP5" s="12" t="n">
        <v>1</v>
      </c>
      <c r="AQ5" s="12" t="inlineStr">
        <is>
          <t>平均</t>
        </is>
      </c>
      <c r="AR5" s="12" t="inlineStr">
        <is>
          <t>平均</t>
        </is>
      </c>
      <c r="AS5" s="12" t="inlineStr">
        <is>
          <t>平均</t>
        </is>
      </c>
      <c r="AT5" s="12" t="inlineStr">
        <is>
          <t>平均</t>
        </is>
      </c>
      <c r="AU5" s="12" t="inlineStr">
        <is>
          <t>平均</t>
        </is>
      </c>
      <c r="AV5" s="12" t="inlineStr">
        <is>
          <t>平均</t>
        </is>
      </c>
      <c r="AW5" s="12" t="inlineStr">
        <is>
          <t>0-100%</t>
        </is>
      </c>
      <c r="AX5" s="12" t="inlineStr">
        <is>
          <t>0-100%</t>
        </is>
      </c>
      <c r="AY5" s="12" t="inlineStr">
        <is>
          <t>0-100%</t>
        </is>
      </c>
      <c r="AZ5" s="12" t="inlineStr">
        <is>
          <t>0-100%</t>
        </is>
      </c>
      <c r="BA5" s="12" t="inlineStr">
        <is>
          <t>0-100%</t>
        </is>
      </c>
      <c r="BB5" s="12" t="inlineStr">
        <is>
          <t>0-100%</t>
        </is>
      </c>
      <c r="BC5" s="12" t="n"/>
      <c r="BD5" s="12" t="n"/>
      <c r="BE5" s="12" t="inlineStr">
        <is>
          <t>综合均值</t>
        </is>
      </c>
      <c r="BF5" s="12" t="inlineStr">
        <is>
          <t>综合分位</t>
        </is>
      </c>
      <c r="BG5" s="12" t="inlineStr">
        <is>
          <t>压制差</t>
        </is>
      </c>
      <c r="BH5" s="12" t="n"/>
      <c r="BI5" s="12" t="n"/>
      <c r="BJ5" s="12" t="n"/>
      <c r="BK5" s="12" t="n"/>
    </row>
    <row r="6" ht="6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</row>
    <row r="7">
      <c r="A7" s="14" t="n">
        <v>1</v>
      </c>
      <c r="B7" s="15" t="inlineStr">
        <is>
          <t>韩浩、王森</t>
        </is>
      </c>
      <c r="C7" s="16" t="inlineStr">
        <is>
          <t>中航机遇领航混合发起A (018956)</t>
        </is>
      </c>
      <c r="D7" s="15" t="inlineStr">
        <is>
          <t>全能型：综合能力最高</t>
        </is>
      </c>
      <c r="E7" s="17" t="n">
        <v>365</v>
      </c>
      <c r="F7" s="18" t="n">
        <v>0.4055</v>
      </c>
      <c r="G7" s="18" t="n">
        <v>0.6931</v>
      </c>
      <c r="H7" s="19" t="n">
        <v>0.125</v>
      </c>
      <c r="I7" s="19" t="n">
        <v>-0.2609</v>
      </c>
      <c r="J7" s="18" t="n">
        <v>-12.5</v>
      </c>
      <c r="K7" s="19" t="n">
        <v>0.952</v>
      </c>
      <c r="L7" s="19" t="n">
        <v>0.436</v>
      </c>
      <c r="M7" s="19" t="n">
        <v>0.08500000000000001</v>
      </c>
      <c r="N7" s="19" t="n">
        <v>0.436</v>
      </c>
      <c r="O7" s="18" t="n">
        <v>2.65</v>
      </c>
      <c r="P7" s="19" t="n">
        <v>0.2311</v>
      </c>
      <c r="Q7" s="18" t="n">
        <v>1.95</v>
      </c>
      <c r="R7" s="18" t="n">
        <v>0.585</v>
      </c>
      <c r="S7" s="19" t="n">
        <v>0</v>
      </c>
      <c r="T7" s="19" t="n">
        <v>0.115</v>
      </c>
      <c r="U7" s="18" t="n">
        <v>244.68</v>
      </c>
      <c r="V7" s="18" t="n">
        <v>312.5</v>
      </c>
      <c r="W7" s="18" t="n">
        <v>45.8</v>
      </c>
      <c r="X7" s="18" t="n">
        <v>42.1</v>
      </c>
      <c r="Y7" s="18" t="n">
        <v>0.68</v>
      </c>
      <c r="Z7" s="18" t="n">
        <v>0.25</v>
      </c>
      <c r="AA7" s="20">
        <f>$AA$5*(E7-$AA$3)/$AA$4</f>
        <v/>
      </c>
      <c r="AB7" s="20">
        <f>$AB$5*(F7-$AB$3)/$AB$4</f>
        <v/>
      </c>
      <c r="AC7" s="20">
        <f>$AC$5*(G7-$AC$3)/$AC$4</f>
        <v/>
      </c>
      <c r="AD7" s="20">
        <f>$AD$5*(H7-$AD$3)/$AD$4</f>
        <v/>
      </c>
      <c r="AE7" s="20">
        <f>$AE$5*(I7-$AE$3)/$AE$4</f>
        <v/>
      </c>
      <c r="AF7" s="20">
        <f>$AF$5*(J7-$AF$3)/$AF$4</f>
        <v/>
      </c>
      <c r="AG7" s="20">
        <f>$AG$5*(K7-$AG$3)/$AG$4</f>
        <v/>
      </c>
      <c r="AH7" s="20">
        <f>$AH$5*(L7-$AH$3)/$AH$4</f>
        <v/>
      </c>
      <c r="AI7" s="20">
        <f>$AI$5*(M7-$AI$3)/$AI$4</f>
        <v/>
      </c>
      <c r="AJ7" s="20">
        <f>$AJ$5*(N7-$AJ$3)/$AJ$4</f>
        <v/>
      </c>
      <c r="AK7" s="20">
        <f>$AK$5*(O7-$AK$3)/$AK$4</f>
        <v/>
      </c>
      <c r="AL7" s="20">
        <f>$AL$5*(P7-$AL$3)/$AL$4</f>
        <v/>
      </c>
      <c r="AM7" s="20">
        <f>$AM$5*(Q7-$AM$3)/$AM$4</f>
        <v/>
      </c>
      <c r="AN7" s="20">
        <f>$AN$5*(R7-$AN$3)/$AN$4</f>
        <v/>
      </c>
      <c r="AO7" s="20">
        <f>$AO$5*(S7-$AO$3)/$AO$4</f>
        <v/>
      </c>
      <c r="AP7" s="20">
        <f>$AP$5*(T7-$AP$3)/$AP$4</f>
        <v/>
      </c>
      <c r="AQ7" s="20">
        <f>AVERAGE(AA7:AC7)</f>
        <v/>
      </c>
      <c r="AR7" s="20">
        <f>AVERAGE(AD7:AG7)</f>
        <v/>
      </c>
      <c r="AS7" s="20">
        <f>AVERAGE(AH7:AI7)</f>
        <v/>
      </c>
      <c r="AT7" s="20">
        <f>AVERAGE(AJ7:AK7)</f>
        <v/>
      </c>
      <c r="AU7" s="20">
        <f>AVERAGE(AL7:AN7)</f>
        <v/>
      </c>
      <c r="AV7" s="20">
        <f>AVERAGE(AO7:AP7)</f>
        <v/>
      </c>
      <c r="AW7" s="21">
        <f>NORM.S.DIST((AQ7-(-0.1198))/0.7607, TRUE)</f>
        <v/>
      </c>
      <c r="AX7" s="21">
        <f>NORM.S.DIST((AR7-(-0.1156))/0.4373, TRUE)</f>
        <v/>
      </c>
      <c r="AY7" s="21">
        <f>NORM.S.DIST((AS7-(-0.1217))/0.8011, TRUE)</f>
        <v/>
      </c>
      <c r="AZ7" s="21">
        <f>NORM.S.DIST((AT7-(-0.0842))/0.6584, TRUE)</f>
        <v/>
      </c>
      <c r="BA7" s="21">
        <f>NORM.S.DIST((AU7-(-0.1472))/0.6614, TRUE)</f>
        <v/>
      </c>
      <c r="BB7" s="21">
        <f>NORM.S.DIST((AV7-(-0.0465))/0.7884, TRUE)</f>
        <v/>
      </c>
      <c r="BC7" s="20">
        <f>AVERAGE(AR7:AV7)</f>
        <v/>
      </c>
      <c r="BD7" s="22">
        <f>AVERAGE(AX7:BB7)</f>
        <v/>
      </c>
      <c r="BE7" s="20">
        <f>AVERAGE(AQ7:AV7)</f>
        <v/>
      </c>
      <c r="BF7" s="22">
        <f>NORM.S.DIST((BE7-(-0.1058))/0.4068, TRUE)</f>
        <v/>
      </c>
      <c r="BG7" s="23">
        <f>BD7-BF7</f>
        <v/>
      </c>
      <c r="BH7" s="24" t="n">
        <v>0.6541</v>
      </c>
      <c r="BI7" s="24" t="n">
        <v>0.4956</v>
      </c>
      <c r="BJ7" s="24" t="n">
        <v>-0.4139</v>
      </c>
      <c r="BK7" s="25" t="n">
        <v>0.0541</v>
      </c>
    </row>
    <row r="8">
      <c r="A8" s="26" t="n">
        <v>2</v>
      </c>
      <c r="B8" s="27" t="inlineStr">
        <is>
          <t>郑希</t>
        </is>
      </c>
      <c r="C8" s="28" t="inlineStr">
        <is>
          <t>易方达信息产业混合C (019018)</t>
        </is>
      </c>
      <c r="D8" s="27" t="inlineStr">
        <is>
          <t>风险定价型：风险转化效率最高</t>
        </is>
      </c>
      <c r="E8" s="29" t="n">
        <v>520</v>
      </c>
      <c r="F8" s="30" t="n">
        <v>0.6931</v>
      </c>
      <c r="G8" s="30" t="n">
        <v>1.25</v>
      </c>
      <c r="H8" s="31" t="n">
        <v>0.11</v>
      </c>
      <c r="I8" s="31" t="n">
        <v>-0.2484</v>
      </c>
      <c r="J8" s="30" t="n">
        <v>-10.2</v>
      </c>
      <c r="K8" s="31" t="n">
        <v>0.945</v>
      </c>
      <c r="L8" s="31" t="n">
        <v>0.485</v>
      </c>
      <c r="M8" s="31" t="n">
        <v>0.075</v>
      </c>
      <c r="N8" s="31" t="n">
        <v>0.3076</v>
      </c>
      <c r="O8" s="30" t="n">
        <v>2.15</v>
      </c>
      <c r="P8" s="31" t="n">
        <v>0.2274</v>
      </c>
      <c r="Q8" s="30" t="n">
        <v>1.88</v>
      </c>
      <c r="R8" s="30" t="n">
        <v>0.5600000000000001</v>
      </c>
      <c r="S8" s="31" t="n">
        <v>0</v>
      </c>
      <c r="T8" s="31" t="n">
        <v>0.11</v>
      </c>
      <c r="U8" s="30" t="n">
        <v>353.77</v>
      </c>
      <c r="V8" s="30" t="n">
        <v>415.2</v>
      </c>
      <c r="W8" s="30" t="n">
        <v>52.3</v>
      </c>
      <c r="X8" s="30" t="n">
        <v>48.9</v>
      </c>
      <c r="Y8" s="30" t="n">
        <v>0.65</v>
      </c>
      <c r="Z8" s="30" t="n">
        <v>0.28</v>
      </c>
      <c r="AA8" s="32">
        <f>$AA$5*(E8-$AA$3)/$AA$4</f>
        <v/>
      </c>
      <c r="AB8" s="32">
        <f>$AB$5*(F8-$AB$3)/$AB$4</f>
        <v/>
      </c>
      <c r="AC8" s="32">
        <f>$AC$5*(G8-$AC$3)/$AC$4</f>
        <v/>
      </c>
      <c r="AD8" s="32">
        <f>$AD$5*(H8-$AD$3)/$AD$4</f>
        <v/>
      </c>
      <c r="AE8" s="32">
        <f>$AE$5*(I8-$AE$3)/$AE$4</f>
        <v/>
      </c>
      <c r="AF8" s="32">
        <f>$AF$5*(J8-$AF$3)/$AF$4</f>
        <v/>
      </c>
      <c r="AG8" s="32">
        <f>$AG$5*(K8-$AG$3)/$AG$4</f>
        <v/>
      </c>
      <c r="AH8" s="32">
        <f>$AH$5*(L8-$AH$3)/$AH$4</f>
        <v/>
      </c>
      <c r="AI8" s="32">
        <f>$AI$5*(M8-$AI$3)/$AI$4</f>
        <v/>
      </c>
      <c r="AJ8" s="32">
        <f>$AJ$5*(N8-$AJ$3)/$AJ$4</f>
        <v/>
      </c>
      <c r="AK8" s="32">
        <f>$AK$5*(O8-$AK$3)/$AK$4</f>
        <v/>
      </c>
      <c r="AL8" s="32">
        <f>$AL$5*(P8-$AL$3)/$AL$4</f>
        <v/>
      </c>
      <c r="AM8" s="32">
        <f>$AM$5*(Q8-$AM$3)/$AM$4</f>
        <v/>
      </c>
      <c r="AN8" s="32">
        <f>$AN$5*(R8-$AN$3)/$AN$4</f>
        <v/>
      </c>
      <c r="AO8" s="32">
        <f>$AO$5*(S8-$AO$3)/$AO$4</f>
        <v/>
      </c>
      <c r="AP8" s="32">
        <f>$AP$5*(T8-$AP$3)/$AP$4</f>
        <v/>
      </c>
      <c r="AQ8" s="32">
        <f>AVERAGE(AA8:AC8)</f>
        <v/>
      </c>
      <c r="AR8" s="32">
        <f>AVERAGE(AD8:AG8)</f>
        <v/>
      </c>
      <c r="AS8" s="32">
        <f>AVERAGE(AH8:AI8)</f>
        <v/>
      </c>
      <c r="AT8" s="32">
        <f>AVERAGE(AJ8:AK8)</f>
        <v/>
      </c>
      <c r="AU8" s="32">
        <f>AVERAGE(AL8:AN8)</f>
        <v/>
      </c>
      <c r="AV8" s="32">
        <f>AVERAGE(AO8:AP8)</f>
        <v/>
      </c>
      <c r="AW8" s="33">
        <f>NORM.S.DIST((AQ8-(-0.1198))/0.7607, TRUE)</f>
        <v/>
      </c>
      <c r="AX8" s="33">
        <f>NORM.S.DIST((AR8-(-0.1156))/0.4373, TRUE)</f>
        <v/>
      </c>
      <c r="AY8" s="33">
        <f>NORM.S.DIST((AS8-(-0.1217))/0.8011, TRUE)</f>
        <v/>
      </c>
      <c r="AZ8" s="33">
        <f>NORM.S.DIST((AT8-(-0.0842))/0.6584, TRUE)</f>
        <v/>
      </c>
      <c r="BA8" s="33">
        <f>NORM.S.DIST((AU8-(-0.1472))/0.6614, TRUE)</f>
        <v/>
      </c>
      <c r="BB8" s="33">
        <f>NORM.S.DIST((AV8-(-0.0465))/0.7884, TRUE)</f>
        <v/>
      </c>
      <c r="BC8" s="32">
        <f>AVERAGE(AR8:AV8)</f>
        <v/>
      </c>
      <c r="BD8" s="33">
        <f>AVERAGE(AX8:BB8)</f>
        <v/>
      </c>
      <c r="BE8" s="32">
        <f>AVERAGE(AQ8:AV8)</f>
        <v/>
      </c>
      <c r="BF8" s="33">
        <f>NORM.S.DIST((BE8-(-0.1058))/0.4068, TRUE)</f>
        <v/>
      </c>
      <c r="BG8" s="34">
        <f>BD8-BF8</f>
        <v/>
      </c>
      <c r="BH8" s="35" t="n">
        <v>0.578</v>
      </c>
      <c r="BI8" s="35" t="n">
        <v>0.3715</v>
      </c>
      <c r="BJ8" s="35" t="n">
        <v>-0.3433</v>
      </c>
      <c r="BK8" s="36" t="n">
        <v>0.0331</v>
      </c>
    </row>
    <row r="9">
      <c r="A9" s="14" t="n">
        <v>3</v>
      </c>
      <c r="B9" s="15" t="inlineStr">
        <is>
          <t>严凯</t>
        </is>
      </c>
      <c r="C9" s="16" t="inlineStr">
        <is>
          <t>东方惠新灵活配置混合C (002163)</t>
        </is>
      </c>
      <c r="D9" s="15" t="inlineStr">
        <is>
          <t>认知纪律型：认知质量最高</t>
        </is>
      </c>
      <c r="E9" s="17" t="n">
        <v>1150</v>
      </c>
      <c r="F9" s="18" t="n">
        <v>2.1972</v>
      </c>
      <c r="G9" s="18" t="n">
        <v>0.85</v>
      </c>
      <c r="H9" s="19" t="n">
        <v>0.145</v>
      </c>
      <c r="I9" s="19" t="n">
        <v>-0.1264</v>
      </c>
      <c r="J9" s="18" t="n">
        <v>-18.5</v>
      </c>
      <c r="K9" s="19" t="n">
        <v>0.968</v>
      </c>
      <c r="L9" s="19" t="n">
        <v>0.315</v>
      </c>
      <c r="M9" s="19" t="n">
        <v>0.21</v>
      </c>
      <c r="N9" s="19" t="n">
        <v>0.2293</v>
      </c>
      <c r="O9" s="18" t="n">
        <v>-1.3466</v>
      </c>
      <c r="P9" s="19" t="n">
        <v>-0.0682</v>
      </c>
      <c r="Q9" s="18" t="n">
        <v>0.15</v>
      </c>
      <c r="R9" s="18" t="n">
        <v>0.08500000000000001</v>
      </c>
      <c r="S9" s="19" t="n">
        <v>0</v>
      </c>
      <c r="T9" s="19" t="n">
        <v>0.075</v>
      </c>
      <c r="U9" s="18" t="n">
        <v>679.83</v>
      </c>
      <c r="V9" s="18" t="n">
        <v>785</v>
      </c>
      <c r="W9" s="18" t="n">
        <v>68.5</v>
      </c>
      <c r="X9" s="18" t="n">
        <v>65.2</v>
      </c>
      <c r="Y9" s="18" t="n">
        <v>0.58</v>
      </c>
      <c r="Z9" s="18" t="n">
        <v>0.45</v>
      </c>
      <c r="AA9" s="20">
        <f>$AA$5*(E9-$AA$3)/$AA$4</f>
        <v/>
      </c>
      <c r="AB9" s="20">
        <f>$AB$5*(F9-$AB$3)/$AB$4</f>
        <v/>
      </c>
      <c r="AC9" s="20">
        <f>$AC$5*(G9-$AC$3)/$AC$4</f>
        <v/>
      </c>
      <c r="AD9" s="20">
        <f>$AD$5*(H9-$AD$3)/$AD$4</f>
        <v/>
      </c>
      <c r="AE9" s="20">
        <f>$AE$5*(I9-$AE$3)/$AE$4</f>
        <v/>
      </c>
      <c r="AF9" s="20">
        <f>$AF$5*(J9-$AF$3)/$AF$4</f>
        <v/>
      </c>
      <c r="AG9" s="20">
        <f>$AG$5*(K9-$AG$3)/$AG$4</f>
        <v/>
      </c>
      <c r="AH9" s="20">
        <f>$AH$5*(L9-$AH$3)/$AH$4</f>
        <v/>
      </c>
      <c r="AI9" s="20">
        <f>$AI$5*(M9-$AI$3)/$AI$4</f>
        <v/>
      </c>
      <c r="AJ9" s="20">
        <f>$AJ$5*(N9-$AJ$3)/$AJ$4</f>
        <v/>
      </c>
      <c r="AK9" s="20">
        <f>$AK$5*(O9-$AK$3)/$AK$4</f>
        <v/>
      </c>
      <c r="AL9" s="20">
        <f>$AL$5*(P9-$AL$3)/$AL$4</f>
        <v/>
      </c>
      <c r="AM9" s="20">
        <f>$AM$5*(Q9-$AM$3)/$AM$4</f>
        <v/>
      </c>
      <c r="AN9" s="20">
        <f>$AN$5*(R9-$AN$3)/$AN$4</f>
        <v/>
      </c>
      <c r="AO9" s="20">
        <f>$AO$5*(S9-$AO$3)/$AO$4</f>
        <v/>
      </c>
      <c r="AP9" s="20">
        <f>$AP$5*(T9-$AP$3)/$AP$4</f>
        <v/>
      </c>
      <c r="AQ9" s="20">
        <f>AVERAGE(AA9:AC9)</f>
        <v/>
      </c>
      <c r="AR9" s="20">
        <f>AVERAGE(AD9:AG9)</f>
        <v/>
      </c>
      <c r="AS9" s="20">
        <f>AVERAGE(AH9:AI9)</f>
        <v/>
      </c>
      <c r="AT9" s="20">
        <f>AVERAGE(AJ9:AK9)</f>
        <v/>
      </c>
      <c r="AU9" s="20">
        <f>AVERAGE(AL9:AN9)</f>
        <v/>
      </c>
      <c r="AV9" s="20">
        <f>AVERAGE(AO9:AP9)</f>
        <v/>
      </c>
      <c r="AW9" s="21">
        <f>NORM.S.DIST((AQ9-(-0.1198))/0.7607, TRUE)</f>
        <v/>
      </c>
      <c r="AX9" s="21">
        <f>NORM.S.DIST((AR9-(-0.1156))/0.4373, TRUE)</f>
        <v/>
      </c>
      <c r="AY9" s="21">
        <f>NORM.S.DIST((AS9-(-0.1217))/0.8011, TRUE)</f>
        <v/>
      </c>
      <c r="AZ9" s="21">
        <f>NORM.S.DIST((AT9-(-0.0842))/0.6584, TRUE)</f>
        <v/>
      </c>
      <c r="BA9" s="21">
        <f>NORM.S.DIST((AU9-(-0.1472))/0.6614, TRUE)</f>
        <v/>
      </c>
      <c r="BB9" s="21">
        <f>NORM.S.DIST((AV9-(-0.0465))/0.7884, TRUE)</f>
        <v/>
      </c>
      <c r="BC9" s="20">
        <f>AVERAGE(AR9:AV9)</f>
        <v/>
      </c>
      <c r="BD9" s="22">
        <f>AVERAGE(AX9:BB9)</f>
        <v/>
      </c>
      <c r="BE9" s="20">
        <f>AVERAGE(AQ9:AV9)</f>
        <v/>
      </c>
      <c r="BF9" s="22">
        <f>NORM.S.DIST((BE9-(-0.1058))/0.4068, TRUE)</f>
        <v/>
      </c>
      <c r="BG9" s="23">
        <f>BD9-BF9</f>
        <v/>
      </c>
      <c r="BH9" s="24" t="n">
        <v>0.0993</v>
      </c>
      <c r="BI9" s="24" t="n">
        <v>0.4064</v>
      </c>
      <c r="BJ9" s="24" t="n">
        <v>-0.7763</v>
      </c>
      <c r="BK9" s="25" t="n">
        <v>0.0334</v>
      </c>
    </row>
    <row r="10">
      <c r="A10" s="26" t="n">
        <v>4</v>
      </c>
      <c r="B10" s="27" t="inlineStr">
        <is>
          <t>童昌希</t>
        </is>
      </c>
      <c r="C10" s="28" t="inlineStr">
        <is>
          <t>信澳业绩驱动混合C (016371)</t>
        </is>
      </c>
      <c r="D10" s="27" t="inlineStr">
        <is>
          <t>攻守转换型：操作质量最高</t>
        </is>
      </c>
      <c r="E10" s="29" t="n">
        <v>820</v>
      </c>
      <c r="F10" s="30" t="n">
        <v>1.0986</v>
      </c>
      <c r="G10" s="30" t="n">
        <v>1.55</v>
      </c>
      <c r="H10" s="31" t="n">
        <v>0.035</v>
      </c>
      <c r="I10" s="31" t="n">
        <v>-0.1718</v>
      </c>
      <c r="J10" s="30" t="n">
        <v>1.2</v>
      </c>
      <c r="K10" s="31" t="n">
        <v>0.835</v>
      </c>
      <c r="L10" s="31" t="n">
        <v>0.41</v>
      </c>
      <c r="M10" s="31" t="n">
        <v>0.115</v>
      </c>
      <c r="N10" s="31" t="n">
        <v>0.3334</v>
      </c>
      <c r="O10" s="30" t="n">
        <v>2.5668</v>
      </c>
      <c r="P10" s="31" t="n">
        <v>-0.1104</v>
      </c>
      <c r="Q10" s="30" t="n">
        <v>-0.05</v>
      </c>
      <c r="R10" s="30" t="n">
        <v>-0.025</v>
      </c>
      <c r="S10" s="31" t="n">
        <v>0</v>
      </c>
      <c r="T10" s="31" t="n">
        <v>0.08500000000000001</v>
      </c>
      <c r="U10" s="30" t="n">
        <v>286.11</v>
      </c>
      <c r="V10" s="30" t="n">
        <v>340</v>
      </c>
      <c r="W10" s="30" t="n">
        <v>48</v>
      </c>
      <c r="X10" s="30" t="n">
        <v>46.5</v>
      </c>
      <c r="Y10" s="30" t="n">
        <v>0.48</v>
      </c>
      <c r="Z10" s="30" t="n">
        <v>0.52</v>
      </c>
      <c r="AA10" s="32">
        <f>$AA$5*(E10-$AA$3)/$AA$4</f>
        <v/>
      </c>
      <c r="AB10" s="32">
        <f>$AB$5*(F10-$AB$3)/$AB$4</f>
        <v/>
      </c>
      <c r="AC10" s="32">
        <f>$AC$5*(G10-$AC$3)/$AC$4</f>
        <v/>
      </c>
      <c r="AD10" s="32">
        <f>$AD$5*(H10-$AD$3)/$AD$4</f>
        <v/>
      </c>
      <c r="AE10" s="32">
        <f>$AE$5*(I10-$AE$3)/$AE$4</f>
        <v/>
      </c>
      <c r="AF10" s="32">
        <f>$AF$5*(J10-$AF$3)/$AF$4</f>
        <v/>
      </c>
      <c r="AG10" s="32">
        <f>$AG$5*(K10-$AG$3)/$AG$4</f>
        <v/>
      </c>
      <c r="AH10" s="32">
        <f>$AH$5*(L10-$AH$3)/$AH$4</f>
        <v/>
      </c>
      <c r="AI10" s="32">
        <f>$AI$5*(M10-$AI$3)/$AI$4</f>
        <v/>
      </c>
      <c r="AJ10" s="32">
        <f>$AJ$5*(N10-$AJ$3)/$AJ$4</f>
        <v/>
      </c>
      <c r="AK10" s="32">
        <f>$AK$5*(O10-$AK$3)/$AK$4</f>
        <v/>
      </c>
      <c r="AL10" s="32">
        <f>$AL$5*(P10-$AL$3)/$AL$4</f>
        <v/>
      </c>
      <c r="AM10" s="32">
        <f>$AM$5*(Q10-$AM$3)/$AM$4</f>
        <v/>
      </c>
      <c r="AN10" s="32">
        <f>$AN$5*(R10-$AN$3)/$AN$4</f>
        <v/>
      </c>
      <c r="AO10" s="32">
        <f>$AO$5*(S10-$AO$3)/$AO$4</f>
        <v/>
      </c>
      <c r="AP10" s="32">
        <f>$AP$5*(T10-$AP$3)/$AP$4</f>
        <v/>
      </c>
      <c r="AQ10" s="32">
        <f>AVERAGE(AA10:AC10)</f>
        <v/>
      </c>
      <c r="AR10" s="32">
        <f>AVERAGE(AD10:AG10)</f>
        <v/>
      </c>
      <c r="AS10" s="32">
        <f>AVERAGE(AH10:AI10)</f>
        <v/>
      </c>
      <c r="AT10" s="32">
        <f>AVERAGE(AJ10:AK10)</f>
        <v/>
      </c>
      <c r="AU10" s="32">
        <f>AVERAGE(AL10:AN10)</f>
        <v/>
      </c>
      <c r="AV10" s="32">
        <f>AVERAGE(AO10:AP10)</f>
        <v/>
      </c>
      <c r="AW10" s="33">
        <f>NORM.S.DIST((AQ10-(-0.1198))/0.7607, TRUE)</f>
        <v/>
      </c>
      <c r="AX10" s="33">
        <f>NORM.S.DIST((AR10-(-0.1156))/0.4373, TRUE)</f>
        <v/>
      </c>
      <c r="AY10" s="33">
        <f>NORM.S.DIST((AS10-(-0.1217))/0.8011, TRUE)</f>
        <v/>
      </c>
      <c r="AZ10" s="33">
        <f>NORM.S.DIST((AT10-(-0.0842))/0.6584, TRUE)</f>
        <v/>
      </c>
      <c r="BA10" s="33">
        <f>NORM.S.DIST((AU10-(-0.1472))/0.6614, TRUE)</f>
        <v/>
      </c>
      <c r="BB10" s="33">
        <f>NORM.S.DIST((AV10-(-0.0465))/0.7884, TRUE)</f>
        <v/>
      </c>
      <c r="BC10" s="32">
        <f>AVERAGE(AR10:AV10)</f>
        <v/>
      </c>
      <c r="BD10" s="33">
        <f>AVERAGE(AX10:BB10)</f>
        <v/>
      </c>
      <c r="BE10" s="32">
        <f>AVERAGE(AQ10:AV10)</f>
        <v/>
      </c>
      <c r="BF10" s="33">
        <f>NORM.S.DIST((BE10-(-0.1058))/0.4068, TRUE)</f>
        <v/>
      </c>
      <c r="BG10" s="34">
        <f>BD10-BF10</f>
        <v/>
      </c>
      <c r="BH10" s="35" t="n">
        <v>0.2929</v>
      </c>
      <c r="BI10" s="35" t="n">
        <v>0.4437</v>
      </c>
      <c r="BJ10" s="35" t="n">
        <v>-0.5807</v>
      </c>
      <c r="BK10" s="36" t="n">
        <v>-0.0027</v>
      </c>
    </row>
    <row r="11">
      <c r="A11" s="14" t="n">
        <v>5</v>
      </c>
      <c r="B11" s="15" t="inlineStr">
        <is>
          <t>Yi Xie、周建胜</t>
        </is>
      </c>
      <c r="C11" s="16" t="inlineStr">
        <is>
          <t>诺德兴新趋势混合A (016772)</t>
        </is>
      </c>
      <c r="D11" s="15" t="inlineStr">
        <is>
          <t>基本面优势型：背景条件最高</t>
        </is>
      </c>
      <c r="E11" s="17" t="n">
        <v>210</v>
      </c>
      <c r="F11" s="18" t="n">
        <v>0.25</v>
      </c>
      <c r="G11" s="18" t="n">
        <v>0.15</v>
      </c>
      <c r="H11" s="19" t="n">
        <v>-0.015</v>
      </c>
      <c r="I11" s="19" t="n">
        <v>0.0218</v>
      </c>
      <c r="J11" s="18" t="n">
        <v>15.8</v>
      </c>
      <c r="K11" s="19" t="n">
        <v>0.72</v>
      </c>
      <c r="L11" s="19" t="n">
        <v>0.38</v>
      </c>
      <c r="M11" s="19" t="n">
        <v>0.165</v>
      </c>
      <c r="N11" s="19" t="n">
        <v>0.2339</v>
      </c>
      <c r="O11" s="18" t="n">
        <v>2.3851</v>
      </c>
      <c r="P11" s="19" t="n">
        <v>-0.0854</v>
      </c>
      <c r="Q11" s="18" t="n">
        <v>0.08</v>
      </c>
      <c r="R11" s="18" t="n">
        <v>0.04</v>
      </c>
      <c r="S11" s="19" t="n">
        <v>0</v>
      </c>
      <c r="T11" s="19" t="n">
        <v>0.078</v>
      </c>
      <c r="U11" s="18" t="n">
        <v>244.62</v>
      </c>
      <c r="V11" s="18" t="n">
        <v>290</v>
      </c>
      <c r="W11" s="18" t="n">
        <v>42</v>
      </c>
      <c r="X11" s="18" t="n">
        <v>41.5</v>
      </c>
      <c r="Y11" s="18" t="n">
        <v>0.42</v>
      </c>
      <c r="Z11" s="18" t="n">
        <v>0.6</v>
      </c>
      <c r="AA11" s="20">
        <f>$AA$5*(E11-$AA$3)/$AA$4</f>
        <v/>
      </c>
      <c r="AB11" s="20">
        <f>$AB$5*(F11-$AB$3)/$AB$4</f>
        <v/>
      </c>
      <c r="AC11" s="20">
        <f>$AC$5*(G11-$AC$3)/$AC$4</f>
        <v/>
      </c>
      <c r="AD11" s="20">
        <f>$AD$5*(H11-$AD$3)/$AD$4</f>
        <v/>
      </c>
      <c r="AE11" s="20">
        <f>$AE$5*(I11-$AE$3)/$AE$4</f>
        <v/>
      </c>
      <c r="AF11" s="20">
        <f>$AF$5*(J11-$AF$3)/$AF$4</f>
        <v/>
      </c>
      <c r="AG11" s="20">
        <f>$AG$5*(K11-$AG$3)/$AG$4</f>
        <v/>
      </c>
      <c r="AH11" s="20">
        <f>$AH$5*(L11-$AH$3)/$AH$4</f>
        <v/>
      </c>
      <c r="AI11" s="20">
        <f>$AI$5*(M11-$AI$3)/$AI$4</f>
        <v/>
      </c>
      <c r="AJ11" s="20">
        <f>$AJ$5*(N11-$AJ$3)/$AJ$4</f>
        <v/>
      </c>
      <c r="AK11" s="20">
        <f>$AK$5*(O11-$AK$3)/$AK$4</f>
        <v/>
      </c>
      <c r="AL11" s="20">
        <f>$AL$5*(P11-$AL$3)/$AL$4</f>
        <v/>
      </c>
      <c r="AM11" s="20">
        <f>$AM$5*(Q11-$AM$3)/$AM$4</f>
        <v/>
      </c>
      <c r="AN11" s="20">
        <f>$AN$5*(R11-$AN$3)/$AN$4</f>
        <v/>
      </c>
      <c r="AO11" s="20">
        <f>$AO$5*(S11-$AO$3)/$AO$4</f>
        <v/>
      </c>
      <c r="AP11" s="20">
        <f>$AP$5*(T11-$AP$3)/$AP$4</f>
        <v/>
      </c>
      <c r="AQ11" s="20">
        <f>AVERAGE(AA11:AC11)</f>
        <v/>
      </c>
      <c r="AR11" s="20">
        <f>AVERAGE(AD11:AG11)</f>
        <v/>
      </c>
      <c r="AS11" s="20">
        <f>AVERAGE(AH11:AI11)</f>
        <v/>
      </c>
      <c r="AT11" s="20">
        <f>AVERAGE(AJ11:AK11)</f>
        <v/>
      </c>
      <c r="AU11" s="20">
        <f>AVERAGE(AL11:AN11)</f>
        <v/>
      </c>
      <c r="AV11" s="20">
        <f>AVERAGE(AO11:AP11)</f>
        <v/>
      </c>
      <c r="AW11" s="21">
        <f>NORM.S.DIST((AQ11-(-0.1198))/0.7607, TRUE)</f>
        <v/>
      </c>
      <c r="AX11" s="21">
        <f>NORM.S.DIST((AR11-(-0.1156))/0.4373, TRUE)</f>
        <v/>
      </c>
      <c r="AY11" s="21">
        <f>NORM.S.DIST((AS11-(-0.1217))/0.8011, TRUE)</f>
        <v/>
      </c>
      <c r="AZ11" s="21">
        <f>NORM.S.DIST((AT11-(-0.0842))/0.6584, TRUE)</f>
        <v/>
      </c>
      <c r="BA11" s="21">
        <f>NORM.S.DIST((AU11-(-0.1472))/0.6614, TRUE)</f>
        <v/>
      </c>
      <c r="BB11" s="21">
        <f>NORM.S.DIST((AV11-(-0.0465))/0.7884, TRUE)</f>
        <v/>
      </c>
      <c r="BC11" s="20">
        <f>AVERAGE(AR11:AV11)</f>
        <v/>
      </c>
      <c r="BD11" s="22">
        <f>AVERAGE(AX11:BB11)</f>
        <v/>
      </c>
      <c r="BE11" s="20">
        <f>AVERAGE(AQ11:AV11)</f>
        <v/>
      </c>
      <c r="BF11" s="22">
        <f>NORM.S.DIST((BE11-(-0.1058))/0.4068, TRUE)</f>
        <v/>
      </c>
      <c r="BG11" s="23">
        <f>BD11-BF11</f>
        <v/>
      </c>
      <c r="BH11" s="24" t="n">
        <v>0.1626</v>
      </c>
      <c r="BI11" s="24" t="n">
        <v>0.3544</v>
      </c>
      <c r="BJ11" s="24" t="n">
        <v>-0.4039</v>
      </c>
      <c r="BK11" s="25" t="n">
        <v>-0.0083</v>
      </c>
    </row>
    <row r="12">
      <c r="A12" s="26" t="n">
        <v>6</v>
      </c>
      <c r="B12" s="27" t="inlineStr">
        <is>
          <t>杨明</t>
        </is>
      </c>
      <c r="C12" s="28" t="inlineStr">
        <is>
          <t>华安策略优选混合A (040008)</t>
        </is>
      </c>
      <c r="D12" s="27" t="inlineStr">
        <is>
          <t>反例：综合能力最低</t>
        </is>
      </c>
      <c r="E12" s="29" t="n">
        <v>3250</v>
      </c>
      <c r="F12" s="30" t="n">
        <v>2.8904</v>
      </c>
      <c r="G12" s="30" t="n">
        <v>3.85</v>
      </c>
      <c r="H12" s="31" t="n">
        <v>0.065</v>
      </c>
      <c r="I12" s="31" t="n">
        <v>-0.2365</v>
      </c>
      <c r="J12" s="30" t="n">
        <v>-5.2</v>
      </c>
      <c r="K12" s="31" t="n">
        <v>0.885</v>
      </c>
      <c r="L12" s="31" t="n">
        <v>0.165</v>
      </c>
      <c r="M12" s="31" t="n">
        <v>0.385</v>
      </c>
      <c r="N12" s="31" t="n">
        <v>0.0608</v>
      </c>
      <c r="O12" s="30" t="n">
        <v>0.3091</v>
      </c>
      <c r="P12" s="31" t="n">
        <v>-0.0251</v>
      </c>
      <c r="Q12" s="30" t="n">
        <v>0.18</v>
      </c>
      <c r="R12" s="30" t="n">
        <v>0.11</v>
      </c>
      <c r="S12" s="31" t="n">
        <v>0.3207</v>
      </c>
      <c r="T12" s="31" t="n">
        <v>0.07199999999999999</v>
      </c>
      <c r="U12" s="30" t="n">
        <v>217.04</v>
      </c>
      <c r="V12" s="30" t="n">
        <v>260</v>
      </c>
      <c r="W12" s="30" t="n">
        <v>35</v>
      </c>
      <c r="X12" s="30" t="n">
        <v>34</v>
      </c>
      <c r="Y12" s="30" t="n">
        <v>0.45</v>
      </c>
      <c r="Z12" s="30" t="n">
        <v>0.48</v>
      </c>
      <c r="AA12" s="32">
        <f>$AA$5*(E12-$AA$3)/$AA$4</f>
        <v/>
      </c>
      <c r="AB12" s="32">
        <f>$AB$5*(F12-$AB$3)/$AB$4</f>
        <v/>
      </c>
      <c r="AC12" s="32">
        <f>$AC$5*(G12-$AC$3)/$AC$4</f>
        <v/>
      </c>
      <c r="AD12" s="32">
        <f>$AD$5*(H12-$AD$3)/$AD$4</f>
        <v/>
      </c>
      <c r="AE12" s="32">
        <f>$AE$5*(I12-$AE$3)/$AE$4</f>
        <v/>
      </c>
      <c r="AF12" s="32">
        <f>$AF$5*(J12-$AF$3)/$AF$4</f>
        <v/>
      </c>
      <c r="AG12" s="32">
        <f>$AG$5*(K12-$AG$3)/$AG$4</f>
        <v/>
      </c>
      <c r="AH12" s="32">
        <f>$AH$5*(L12-$AH$3)/$AH$4</f>
        <v/>
      </c>
      <c r="AI12" s="32">
        <f>$AI$5*(M12-$AI$3)/$AI$4</f>
        <v/>
      </c>
      <c r="AJ12" s="32">
        <f>$AJ$5*(N12-$AJ$3)/$AJ$4</f>
        <v/>
      </c>
      <c r="AK12" s="32">
        <f>$AK$5*(O12-$AK$3)/$AK$4</f>
        <v/>
      </c>
      <c r="AL12" s="32">
        <f>$AL$5*(P12-$AL$3)/$AL$4</f>
        <v/>
      </c>
      <c r="AM12" s="32">
        <f>$AM$5*(Q12-$AM$3)/$AM$4</f>
        <v/>
      </c>
      <c r="AN12" s="32">
        <f>$AN$5*(R12-$AN$3)/$AN$4</f>
        <v/>
      </c>
      <c r="AO12" s="32">
        <f>$AO$5*(S12-$AO$3)/$AO$4</f>
        <v/>
      </c>
      <c r="AP12" s="32">
        <f>$AP$5*(T12-$AP$3)/$AP$4</f>
        <v/>
      </c>
      <c r="AQ12" s="32">
        <f>AVERAGE(AA12:AC12)</f>
        <v/>
      </c>
      <c r="AR12" s="32">
        <f>AVERAGE(AD12:AG12)</f>
        <v/>
      </c>
      <c r="AS12" s="32">
        <f>AVERAGE(AH12:AI12)</f>
        <v/>
      </c>
      <c r="AT12" s="32">
        <f>AVERAGE(AJ12:AK12)</f>
        <v/>
      </c>
      <c r="AU12" s="32">
        <f>AVERAGE(AL12:AN12)</f>
        <v/>
      </c>
      <c r="AV12" s="32">
        <f>AVERAGE(AO12:AP12)</f>
        <v/>
      </c>
      <c r="AW12" s="33">
        <f>NORM.S.DIST((AQ12-(-0.1198))/0.7607, TRUE)</f>
        <v/>
      </c>
      <c r="AX12" s="33">
        <f>NORM.S.DIST((AR12-(-0.1156))/0.4373, TRUE)</f>
        <v/>
      </c>
      <c r="AY12" s="33">
        <f>NORM.S.DIST((AS12-(-0.1217))/0.8011, TRUE)</f>
        <v/>
      </c>
      <c r="AZ12" s="33">
        <f>NORM.S.DIST((AT12-(-0.0842))/0.6584, TRUE)</f>
        <v/>
      </c>
      <c r="BA12" s="33">
        <f>NORM.S.DIST((AU12-(-0.1472))/0.6614, TRUE)</f>
        <v/>
      </c>
      <c r="BB12" s="33">
        <f>NORM.S.DIST((AV12-(-0.0465))/0.7884, TRUE)</f>
        <v/>
      </c>
      <c r="BC12" s="32">
        <f>AVERAGE(AR12:AV12)</f>
        <v/>
      </c>
      <c r="BD12" s="33">
        <f>AVERAGE(AX12:BB12)</f>
        <v/>
      </c>
      <c r="BE12" s="32">
        <f>AVERAGE(AQ12:AV12)</f>
        <v/>
      </c>
      <c r="BF12" s="33">
        <f>NORM.S.DIST((BE12-(-0.1058))/0.4068, TRUE)</f>
        <v/>
      </c>
      <c r="BG12" s="34">
        <f>BD12-BF12</f>
        <v/>
      </c>
      <c r="BH12" s="35" t="n">
        <v>0.0501</v>
      </c>
      <c r="BI12" s="35" t="n">
        <v>0.2217</v>
      </c>
      <c r="BJ12" s="35" t="n">
        <v>-0.6073</v>
      </c>
      <c r="BK12" s="36" t="n">
        <v>-0.0036</v>
      </c>
    </row>
    <row r="13">
      <c r="A13" s="14" t="n">
        <v>7</v>
      </c>
      <c r="B13" s="15" t="inlineStr">
        <is>
          <t>张坤</t>
        </is>
      </c>
      <c r="C13" s="16" t="inlineStr">
        <is>
          <t>易方达蓝筹精选 (005827)</t>
        </is>
      </c>
      <c r="D13" s="15" t="inlineStr">
        <is>
          <t>深度价值 · 蓝筹集中型</t>
        </is>
      </c>
      <c r="E13" s="17" t="n">
        <v>4380</v>
      </c>
      <c r="F13" s="18" t="n">
        <v>2.0794</v>
      </c>
      <c r="G13" s="18" t="n">
        <v>5.7772</v>
      </c>
      <c r="H13" s="19" t="n">
        <v>0.082</v>
      </c>
      <c r="I13" s="19" t="n">
        <v>-0.045</v>
      </c>
      <c r="J13" s="18" t="n">
        <v>-0.85</v>
      </c>
      <c r="K13" s="19" t="n">
        <v>0.885</v>
      </c>
      <c r="L13" s="19" t="n">
        <v>0.582</v>
      </c>
      <c r="M13" s="19" t="n">
        <v>0.125</v>
      </c>
      <c r="N13" s="19" t="n">
        <v>0.035</v>
      </c>
      <c r="O13" s="18" t="n">
        <v>0.42</v>
      </c>
      <c r="P13" s="19" t="n">
        <v>0.08500000000000001</v>
      </c>
      <c r="Q13" s="18" t="n">
        <v>0.45</v>
      </c>
      <c r="R13" s="18" t="n">
        <v>0.28</v>
      </c>
      <c r="S13" s="19" t="n">
        <v>0.115</v>
      </c>
      <c r="T13" s="19" t="n">
        <v>0.08500000000000001</v>
      </c>
      <c r="U13" s="18" t="n">
        <v>45.2</v>
      </c>
      <c r="V13" s="18" t="n">
        <v>52</v>
      </c>
      <c r="W13" s="18" t="n">
        <v>12.5</v>
      </c>
      <c r="X13" s="18" t="n">
        <v>11.8</v>
      </c>
      <c r="Y13" s="18" t="n">
        <v>0.72</v>
      </c>
      <c r="Z13" s="18" t="n">
        <v>0.18</v>
      </c>
      <c r="AA13" s="20">
        <f>$AA$5*(E13-$AA$3)/$AA$4</f>
        <v/>
      </c>
      <c r="AB13" s="20">
        <f>$AB$5*(F13-$AB$3)/$AB$4</f>
        <v/>
      </c>
      <c r="AC13" s="20">
        <f>$AC$5*(G13-$AC$3)/$AC$4</f>
        <v/>
      </c>
      <c r="AD13" s="20">
        <f>$AD$5*(H13-$AD$3)/$AD$4</f>
        <v/>
      </c>
      <c r="AE13" s="20">
        <f>$AE$5*(I13-$AE$3)/$AE$4</f>
        <v/>
      </c>
      <c r="AF13" s="20">
        <f>$AF$5*(J13-$AF$3)/$AF$4</f>
        <v/>
      </c>
      <c r="AG13" s="20">
        <f>$AG$5*(K13-$AG$3)/$AG$4</f>
        <v/>
      </c>
      <c r="AH13" s="20">
        <f>$AH$5*(L13-$AH$3)/$AH$4</f>
        <v/>
      </c>
      <c r="AI13" s="20">
        <f>$AI$5*(M13-$AI$3)/$AI$4</f>
        <v/>
      </c>
      <c r="AJ13" s="20">
        <f>$AJ$5*(N13-$AJ$3)/$AJ$4</f>
        <v/>
      </c>
      <c r="AK13" s="20">
        <f>$AK$5*(O13-$AK$3)/$AK$4</f>
        <v/>
      </c>
      <c r="AL13" s="20">
        <f>$AL$5*(P13-$AL$3)/$AL$4</f>
        <v/>
      </c>
      <c r="AM13" s="20">
        <f>$AM$5*(Q13-$AM$3)/$AM$4</f>
        <v/>
      </c>
      <c r="AN13" s="20">
        <f>$AN$5*(R13-$AN$3)/$AN$4</f>
        <v/>
      </c>
      <c r="AO13" s="20">
        <f>$AO$5*(S13-$AO$3)/$AO$4</f>
        <v/>
      </c>
      <c r="AP13" s="20">
        <f>$AP$5*(T13-$AP$3)/$AP$4</f>
        <v/>
      </c>
      <c r="AQ13" s="20">
        <f>AVERAGE(AA13:AC13)</f>
        <v/>
      </c>
      <c r="AR13" s="20">
        <f>AVERAGE(AD13:AG13)</f>
        <v/>
      </c>
      <c r="AS13" s="20">
        <f>AVERAGE(AH13:AI13)</f>
        <v/>
      </c>
      <c r="AT13" s="20">
        <f>AVERAGE(AJ13:AK13)</f>
        <v/>
      </c>
      <c r="AU13" s="20">
        <f>AVERAGE(AL13:AN13)</f>
        <v/>
      </c>
      <c r="AV13" s="20">
        <f>AVERAGE(AO13:AP13)</f>
        <v/>
      </c>
      <c r="AW13" s="21">
        <f>NORM.S.DIST((AQ13-(-0.1198))/0.7607, TRUE)</f>
        <v/>
      </c>
      <c r="AX13" s="21">
        <f>NORM.S.DIST((AR13-(-0.1156))/0.4373, TRUE)</f>
        <v/>
      </c>
      <c r="AY13" s="21">
        <f>NORM.S.DIST((AS13-(-0.1217))/0.8011, TRUE)</f>
        <v/>
      </c>
      <c r="AZ13" s="21">
        <f>NORM.S.DIST((AT13-(-0.0842))/0.6584, TRUE)</f>
        <v/>
      </c>
      <c r="BA13" s="21">
        <f>NORM.S.DIST((AU13-(-0.1472))/0.6614, TRUE)</f>
        <v/>
      </c>
      <c r="BB13" s="21">
        <f>NORM.S.DIST((AV13-(-0.0465))/0.7884, TRUE)</f>
        <v/>
      </c>
      <c r="BC13" s="20">
        <f>AVERAGE(AR13:AV13)</f>
        <v/>
      </c>
      <c r="BD13" s="22">
        <f>AVERAGE(AX13:BB13)</f>
        <v/>
      </c>
      <c r="BE13" s="20">
        <f>AVERAGE(AQ13:AV13)</f>
        <v/>
      </c>
      <c r="BF13" s="22">
        <f>NORM.S.DIST((BE13-(-0.1058))/0.4068, TRUE)</f>
        <v/>
      </c>
      <c r="BG13" s="23">
        <f>BD13-BF13</f>
        <v/>
      </c>
      <c r="BH13" s="24" t="n">
        <v>0.098</v>
      </c>
      <c r="BI13" s="24" t="n">
        <v>0.245</v>
      </c>
      <c r="BJ13" s="24" t="n">
        <v>-0.579</v>
      </c>
      <c r="BK13" s="25" t="n">
        <v>0.0215</v>
      </c>
    </row>
    <row r="14">
      <c r="A14" s="26" t="n">
        <v>8</v>
      </c>
      <c r="B14" s="27" t="inlineStr">
        <is>
          <t>朱少醒</t>
        </is>
      </c>
      <c r="C14" s="28" t="inlineStr">
        <is>
          <t>富国天惠成长混合A (161005)</t>
        </is>
      </c>
      <c r="D14" s="27" t="inlineStr">
        <is>
          <t>长期均衡 · 自下而上选股型</t>
        </is>
      </c>
      <c r="E14" s="29" t="n">
        <v>7580</v>
      </c>
      <c r="F14" s="30" t="n">
        <v>2.9957</v>
      </c>
      <c r="G14" s="30" t="n">
        <v>5.2774</v>
      </c>
      <c r="H14" s="31" t="n">
        <v>0.065</v>
      </c>
      <c r="I14" s="31" t="n">
        <v>-0.11</v>
      </c>
      <c r="J14" s="30" t="n">
        <v>-1.25</v>
      </c>
      <c r="K14" s="31" t="n">
        <v>0.842</v>
      </c>
      <c r="L14" s="31" t="n">
        <v>0.385</v>
      </c>
      <c r="M14" s="31" t="n">
        <v>0.18</v>
      </c>
      <c r="N14" s="31" t="n">
        <v>0.21</v>
      </c>
      <c r="O14" s="30" t="n">
        <v>1.15</v>
      </c>
      <c r="P14" s="31" t="n">
        <v>0.115</v>
      </c>
      <c r="Q14" s="30" t="n">
        <v>0.52</v>
      </c>
      <c r="R14" s="30" t="n">
        <v>0.315</v>
      </c>
      <c r="S14" s="31" t="n">
        <v>0.21</v>
      </c>
      <c r="T14" s="31" t="n">
        <v>0.092</v>
      </c>
      <c r="U14" s="30" t="n">
        <v>120.5</v>
      </c>
      <c r="V14" s="30" t="n">
        <v>145</v>
      </c>
      <c r="W14" s="30" t="n">
        <v>28.5</v>
      </c>
      <c r="X14" s="30" t="n">
        <v>27.2</v>
      </c>
      <c r="Y14" s="30" t="n">
        <v>0.62</v>
      </c>
      <c r="Z14" s="30" t="n">
        <v>0.35</v>
      </c>
      <c r="AA14" s="32">
        <f>$AA$5*(E14-$AA$3)/$AA$4</f>
        <v/>
      </c>
      <c r="AB14" s="32">
        <f>$AB$5*(F14-$AB$3)/$AB$4</f>
        <v/>
      </c>
      <c r="AC14" s="32">
        <f>$AC$5*(G14-$AC$3)/$AC$4</f>
        <v/>
      </c>
      <c r="AD14" s="32">
        <f>$AD$5*(H14-$AD$3)/$AD$4</f>
        <v/>
      </c>
      <c r="AE14" s="32">
        <f>$AE$5*(I14-$AE$3)/$AE$4</f>
        <v/>
      </c>
      <c r="AF14" s="32">
        <f>$AF$5*(J14-$AF$3)/$AF$4</f>
        <v/>
      </c>
      <c r="AG14" s="32">
        <f>$AG$5*(K14-$AG$3)/$AG$4</f>
        <v/>
      </c>
      <c r="AH14" s="32">
        <f>$AH$5*(L14-$AH$3)/$AH$4</f>
        <v/>
      </c>
      <c r="AI14" s="32">
        <f>$AI$5*(M14-$AI$3)/$AI$4</f>
        <v/>
      </c>
      <c r="AJ14" s="32">
        <f>$AJ$5*(N14-$AJ$3)/$AJ$4</f>
        <v/>
      </c>
      <c r="AK14" s="32">
        <f>$AK$5*(O14-$AK$3)/$AK$4</f>
        <v/>
      </c>
      <c r="AL14" s="32">
        <f>$AL$5*(P14-$AL$3)/$AL$4</f>
        <v/>
      </c>
      <c r="AM14" s="32">
        <f>$AM$5*(Q14-$AM$3)/$AM$4</f>
        <v/>
      </c>
      <c r="AN14" s="32">
        <f>$AN$5*(R14-$AN$3)/$AN$4</f>
        <v/>
      </c>
      <c r="AO14" s="32">
        <f>$AO$5*(S14-$AO$3)/$AO$4</f>
        <v/>
      </c>
      <c r="AP14" s="32">
        <f>$AP$5*(T14-$AP$3)/$AP$4</f>
        <v/>
      </c>
      <c r="AQ14" s="32">
        <f>AVERAGE(AA14:AC14)</f>
        <v/>
      </c>
      <c r="AR14" s="32">
        <f>AVERAGE(AD14:AG14)</f>
        <v/>
      </c>
      <c r="AS14" s="32">
        <f>AVERAGE(AH14:AI14)</f>
        <v/>
      </c>
      <c r="AT14" s="32">
        <f>AVERAGE(AJ14:AK14)</f>
        <v/>
      </c>
      <c r="AU14" s="32">
        <f>AVERAGE(AL14:AN14)</f>
        <v/>
      </c>
      <c r="AV14" s="32">
        <f>AVERAGE(AO14:AP14)</f>
        <v/>
      </c>
      <c r="AW14" s="33">
        <f>NORM.S.DIST((AQ14-(-0.1198))/0.7607, TRUE)</f>
        <v/>
      </c>
      <c r="AX14" s="33">
        <f>NORM.S.DIST((AR14-(-0.1156))/0.4373, TRUE)</f>
        <v/>
      </c>
      <c r="AY14" s="33">
        <f>NORM.S.DIST((AS14-(-0.1217))/0.8011, TRUE)</f>
        <v/>
      </c>
      <c r="AZ14" s="33">
        <f>NORM.S.DIST((AT14-(-0.0842))/0.6584, TRUE)</f>
        <v/>
      </c>
      <c r="BA14" s="33">
        <f>NORM.S.DIST((AU14-(-0.1472))/0.6614, TRUE)</f>
        <v/>
      </c>
      <c r="BB14" s="33">
        <f>NORM.S.DIST((AV14-(-0.0465))/0.7884, TRUE)</f>
        <v/>
      </c>
      <c r="BC14" s="32">
        <f>AVERAGE(AR14:AV14)</f>
        <v/>
      </c>
      <c r="BD14" s="33">
        <f>AVERAGE(AX14:BB14)</f>
        <v/>
      </c>
      <c r="BE14" s="32">
        <f>AVERAGE(AQ14:AV14)</f>
        <v/>
      </c>
      <c r="BF14" s="33">
        <f>NORM.S.DIST((BE14-(-0.1058))/0.4068, TRUE)</f>
        <v/>
      </c>
      <c r="BG14" s="34">
        <f>BD14-BF14</f>
        <v/>
      </c>
      <c r="BH14" s="35" t="n">
        <v>0.156</v>
      </c>
      <c r="BI14" s="35" t="n">
        <v>0.268</v>
      </c>
      <c r="BJ14" s="35" t="n">
        <v>-0.5891</v>
      </c>
      <c r="BK14" s="36" t="n">
        <v>0.0285</v>
      </c>
    </row>
    <row r="15">
      <c r="A15" s="14" t="n">
        <v>9</v>
      </c>
      <c r="B15" s="15" t="inlineStr">
        <is>
          <t>葛兰</t>
        </is>
      </c>
      <c r="C15" s="16" t="inlineStr">
        <is>
          <t>中欧医疗健康混合A (003095)</t>
        </is>
      </c>
      <c r="D15" s="15" t="inlineStr">
        <is>
          <t>赛道深耕 · 高信念高波动型</t>
        </is>
      </c>
      <c r="E15" s="17" t="n">
        <v>4015</v>
      </c>
      <c r="F15" s="18" t="n">
        <v>2.3026</v>
      </c>
      <c r="G15" s="18" t="n">
        <v>5.7498</v>
      </c>
      <c r="H15" s="19" t="n">
        <v>0.025</v>
      </c>
      <c r="I15" s="19" t="n">
        <v>-0.198</v>
      </c>
      <c r="J15" s="18" t="n">
        <v>4.8</v>
      </c>
      <c r="K15" s="19" t="n">
        <v>0.8100000000000001</v>
      </c>
      <c r="L15" s="19" t="n">
        <v>0.625</v>
      </c>
      <c r="M15" s="19" t="n">
        <v>0.145</v>
      </c>
      <c r="N15" s="19" t="n">
        <v>0.08500000000000001</v>
      </c>
      <c r="O15" s="18" t="n">
        <v>0.25</v>
      </c>
      <c r="P15" s="19" t="n">
        <v>0.045</v>
      </c>
      <c r="Q15" s="18" t="n">
        <v>0.21</v>
      </c>
      <c r="R15" s="18" t="n">
        <v>0.145</v>
      </c>
      <c r="S15" s="19" t="n">
        <v>0.165</v>
      </c>
      <c r="T15" s="19" t="n">
        <v>0.08799999999999999</v>
      </c>
      <c r="U15" s="18" t="n">
        <v>185</v>
      </c>
      <c r="V15" s="18" t="n">
        <v>210</v>
      </c>
      <c r="W15" s="18" t="n">
        <v>38</v>
      </c>
      <c r="X15" s="18" t="n">
        <v>36.5</v>
      </c>
      <c r="Y15" s="18" t="n">
        <v>0.51</v>
      </c>
      <c r="Z15" s="18" t="n">
        <v>0.49</v>
      </c>
      <c r="AA15" s="20">
        <f>$AA$5*(E15-$AA$3)/$AA$4</f>
        <v/>
      </c>
      <c r="AB15" s="20">
        <f>$AB$5*(F15-$AB$3)/$AB$4</f>
        <v/>
      </c>
      <c r="AC15" s="20">
        <f>$AC$5*(G15-$AC$3)/$AC$4</f>
        <v/>
      </c>
      <c r="AD15" s="20">
        <f>$AD$5*(H15-$AD$3)/$AD$4</f>
        <v/>
      </c>
      <c r="AE15" s="20">
        <f>$AE$5*(I15-$AE$3)/$AE$4</f>
        <v/>
      </c>
      <c r="AF15" s="20">
        <f>$AF$5*(J15-$AF$3)/$AF$4</f>
        <v/>
      </c>
      <c r="AG15" s="20">
        <f>$AG$5*(K15-$AG$3)/$AG$4</f>
        <v/>
      </c>
      <c r="AH15" s="20">
        <f>$AH$5*(L15-$AH$3)/$AH$4</f>
        <v/>
      </c>
      <c r="AI15" s="20">
        <f>$AI$5*(M15-$AI$3)/$AI$4</f>
        <v/>
      </c>
      <c r="AJ15" s="20">
        <f>$AJ$5*(N15-$AJ$3)/$AJ$4</f>
        <v/>
      </c>
      <c r="AK15" s="20">
        <f>$AK$5*(O15-$AK$3)/$AK$4</f>
        <v/>
      </c>
      <c r="AL15" s="20">
        <f>$AL$5*(P15-$AL$3)/$AL$4</f>
        <v/>
      </c>
      <c r="AM15" s="20">
        <f>$AM$5*(Q15-$AM$3)/$AM$4</f>
        <v/>
      </c>
      <c r="AN15" s="20">
        <f>$AN$5*(R15-$AN$3)/$AN$4</f>
        <v/>
      </c>
      <c r="AO15" s="20">
        <f>$AO$5*(S15-$AO$3)/$AO$4</f>
        <v/>
      </c>
      <c r="AP15" s="20">
        <f>$AP$5*(T15-$AP$3)/$AP$4</f>
        <v/>
      </c>
      <c r="AQ15" s="20">
        <f>AVERAGE(AA15:AC15)</f>
        <v/>
      </c>
      <c r="AR15" s="20">
        <f>AVERAGE(AD15:AG15)</f>
        <v/>
      </c>
      <c r="AS15" s="20">
        <f>AVERAGE(AH15:AI15)</f>
        <v/>
      </c>
      <c r="AT15" s="20">
        <f>AVERAGE(AJ15:AK15)</f>
        <v/>
      </c>
      <c r="AU15" s="20">
        <f>AVERAGE(AL15:AN15)</f>
        <v/>
      </c>
      <c r="AV15" s="20">
        <f>AVERAGE(AO15:AP15)</f>
        <v/>
      </c>
      <c r="AW15" s="21">
        <f>NORM.S.DIST((AQ15-(-0.1198))/0.7607, TRUE)</f>
        <v/>
      </c>
      <c r="AX15" s="21">
        <f>NORM.S.DIST((AR15-(-0.1156))/0.4373, TRUE)</f>
        <v/>
      </c>
      <c r="AY15" s="21">
        <f>NORM.S.DIST((AS15-(-0.1217))/0.8011, TRUE)</f>
        <v/>
      </c>
      <c r="AZ15" s="21">
        <f>NORM.S.DIST((AT15-(-0.0842))/0.6584, TRUE)</f>
        <v/>
      </c>
      <c r="BA15" s="21">
        <f>NORM.S.DIST((AU15-(-0.1472))/0.6614, TRUE)</f>
        <v/>
      </c>
      <c r="BB15" s="21">
        <f>NORM.S.DIST((AV15-(-0.0465))/0.7884, TRUE)</f>
        <v/>
      </c>
      <c r="BC15" s="20">
        <f>AVERAGE(AR15:AV15)</f>
        <v/>
      </c>
      <c r="BD15" s="22">
        <f>AVERAGE(AX15:BB15)</f>
        <v/>
      </c>
      <c r="BE15" s="20">
        <f>AVERAGE(AQ15:AV15)</f>
        <v/>
      </c>
      <c r="BF15" s="22">
        <f>NORM.S.DIST((BE15-(-0.1058))/0.4068, TRUE)</f>
        <v/>
      </c>
      <c r="BG15" s="23">
        <f>BD15-BF15</f>
        <v/>
      </c>
      <c r="BH15" s="24" t="n">
        <v>0.1281</v>
      </c>
      <c r="BI15" s="24" t="n">
        <v>0.312</v>
      </c>
      <c r="BJ15" s="24" t="n">
        <v>-0.5885</v>
      </c>
      <c r="BK15" s="25" t="n">
        <v>0.0045</v>
      </c>
    </row>
    <row r="16">
      <c r="A16" s="26" t="n">
        <v>10</v>
      </c>
      <c r="B16" s="27" t="inlineStr">
        <is>
          <t>蔡嵩松</t>
        </is>
      </c>
      <c r="C16" s="28" t="inlineStr">
        <is>
          <t>诺安成长混合 (320007)</t>
        </is>
      </c>
      <c r="D16" s="27" t="inlineStr">
        <is>
          <t>极致集中 · 科技成长轮动型</t>
        </is>
      </c>
      <c r="E16" s="29" t="n">
        <v>1650</v>
      </c>
      <c r="F16" s="30" t="n">
        <v>2.7081</v>
      </c>
      <c r="G16" s="30" t="n">
        <v>4.85</v>
      </c>
      <c r="H16" s="31" t="n">
        <v>0.032</v>
      </c>
      <c r="I16" s="31" t="n">
        <v>-0.0771</v>
      </c>
      <c r="J16" s="30" t="n">
        <v>0.85</v>
      </c>
      <c r="K16" s="31" t="n">
        <v>0.825</v>
      </c>
      <c r="L16" s="31" t="n">
        <v>0.68</v>
      </c>
      <c r="M16" s="31" t="n">
        <v>0.135</v>
      </c>
      <c r="N16" s="31" t="n">
        <v>0.0361</v>
      </c>
      <c r="O16" s="30" t="n">
        <v>0.6562</v>
      </c>
      <c r="P16" s="31" t="n">
        <v>-0.0487</v>
      </c>
      <c r="Q16" s="30" t="n">
        <v>0.195</v>
      </c>
      <c r="R16" s="30" t="n">
        <v>0.125</v>
      </c>
      <c r="S16" s="31" t="n">
        <v>0.493</v>
      </c>
      <c r="T16" s="31" t="n">
        <v>0.091</v>
      </c>
      <c r="U16" s="30" t="n">
        <v>54.37</v>
      </c>
      <c r="V16" s="30" t="n">
        <v>68</v>
      </c>
      <c r="W16" s="30" t="n">
        <v>15</v>
      </c>
      <c r="X16" s="30" t="n">
        <v>14.2</v>
      </c>
      <c r="Y16" s="30" t="n">
        <v>0.55</v>
      </c>
      <c r="Z16" s="30" t="n">
        <v>0.38</v>
      </c>
      <c r="AA16" s="32">
        <f>$AA$5*(E16-$AA$3)/$AA$4</f>
        <v/>
      </c>
      <c r="AB16" s="32">
        <f>$AB$5*(F16-$AB$3)/$AB$4</f>
        <v/>
      </c>
      <c r="AC16" s="32">
        <f>$AC$5*(G16-$AC$3)/$AC$4</f>
        <v/>
      </c>
      <c r="AD16" s="32">
        <f>$AD$5*(H16-$AD$3)/$AD$4</f>
        <v/>
      </c>
      <c r="AE16" s="32">
        <f>$AE$5*(I16-$AE$3)/$AE$4</f>
        <v/>
      </c>
      <c r="AF16" s="32">
        <f>$AF$5*(J16-$AF$3)/$AF$4</f>
        <v/>
      </c>
      <c r="AG16" s="32">
        <f>$AG$5*(K16-$AG$3)/$AG$4</f>
        <v/>
      </c>
      <c r="AH16" s="32">
        <f>$AH$5*(L16-$AH$3)/$AH$4</f>
        <v/>
      </c>
      <c r="AI16" s="32">
        <f>$AI$5*(M16-$AI$3)/$AI$4</f>
        <v/>
      </c>
      <c r="AJ16" s="32">
        <f>$AJ$5*(N16-$AJ$3)/$AJ$4</f>
        <v/>
      </c>
      <c r="AK16" s="32">
        <f>$AK$5*(O16-$AK$3)/$AK$4</f>
        <v/>
      </c>
      <c r="AL16" s="32">
        <f>$AL$5*(P16-$AL$3)/$AL$4</f>
        <v/>
      </c>
      <c r="AM16" s="32">
        <f>$AM$5*(Q16-$AM$3)/$AM$4</f>
        <v/>
      </c>
      <c r="AN16" s="32">
        <f>$AN$5*(R16-$AN$3)/$AN$4</f>
        <v/>
      </c>
      <c r="AO16" s="32">
        <f>$AO$5*(S16-$AO$3)/$AO$4</f>
        <v/>
      </c>
      <c r="AP16" s="32">
        <f>$AP$5*(T16-$AP$3)/$AP$4</f>
        <v/>
      </c>
      <c r="AQ16" s="32">
        <f>AVERAGE(AA16:AC16)</f>
        <v/>
      </c>
      <c r="AR16" s="32">
        <f>AVERAGE(AD16:AG16)</f>
        <v/>
      </c>
      <c r="AS16" s="32">
        <f>AVERAGE(AH16:AI16)</f>
        <v/>
      </c>
      <c r="AT16" s="32">
        <f>AVERAGE(AJ16:AK16)</f>
        <v/>
      </c>
      <c r="AU16" s="32">
        <f>AVERAGE(AL16:AN16)</f>
        <v/>
      </c>
      <c r="AV16" s="32">
        <f>AVERAGE(AO16:AP16)</f>
        <v/>
      </c>
      <c r="AW16" s="33">
        <f>NORM.S.DIST((AQ16-(-0.1198))/0.7607, TRUE)</f>
        <v/>
      </c>
      <c r="AX16" s="33">
        <f>NORM.S.DIST((AR16-(-0.1156))/0.4373, TRUE)</f>
        <v/>
      </c>
      <c r="AY16" s="33">
        <f>NORM.S.DIST((AS16-(-0.1217))/0.8011, TRUE)</f>
        <v/>
      </c>
      <c r="AZ16" s="33">
        <f>NORM.S.DIST((AT16-(-0.0842))/0.6584, TRUE)</f>
        <v/>
      </c>
      <c r="BA16" s="33">
        <f>NORM.S.DIST((AU16-(-0.1472))/0.6614, TRUE)</f>
        <v/>
      </c>
      <c r="BB16" s="33">
        <f>NORM.S.DIST((AV16-(-0.0465))/0.7884, TRUE)</f>
        <v/>
      </c>
      <c r="BC16" s="32">
        <f>AVERAGE(AR16:AV16)</f>
        <v/>
      </c>
      <c r="BD16" s="33">
        <f>AVERAGE(AX16:BB16)</f>
        <v/>
      </c>
      <c r="BE16" s="32">
        <f>AVERAGE(AQ16:AV16)</f>
        <v/>
      </c>
      <c r="BF16" s="33">
        <f>NORM.S.DIST((BE16-(-0.1058))/0.4068, TRUE)</f>
        <v/>
      </c>
      <c r="BG16" s="34">
        <f>BD16-BF16</f>
        <v/>
      </c>
      <c r="BH16" s="35" t="n">
        <v>0.112</v>
      </c>
      <c r="BI16" s="35" t="n">
        <v>0.368</v>
      </c>
      <c r="BJ16" s="35" t="n">
        <v>-0.545</v>
      </c>
      <c r="BK16" s="36" t="n">
        <v>0.0112</v>
      </c>
    </row>
    <row r="17">
      <c r="A17" s="14" t="n">
        <v>11</v>
      </c>
      <c r="B17" s="15" t="inlineStr">
        <is>
          <t>谢治宇</t>
        </is>
      </c>
      <c r="C17" s="16" t="inlineStr">
        <is>
          <t>兴全合润混合A (163406)</t>
        </is>
      </c>
      <c r="D17" s="15" t="inlineStr">
        <is>
          <t>均衡配置 · GARP性价比型</t>
        </is>
      </c>
      <c r="E17" s="17" t="n">
        <v>4920</v>
      </c>
      <c r="F17" s="18" t="n">
        <v>2.5649</v>
      </c>
      <c r="G17" s="18" t="n">
        <v>5.67</v>
      </c>
      <c r="H17" s="19" t="n">
        <v>0.058</v>
      </c>
      <c r="I17" s="19" t="n">
        <v>-0.0699</v>
      </c>
      <c r="J17" s="18" t="n">
        <v>-1.5</v>
      </c>
      <c r="K17" s="19" t="n">
        <v>0.855</v>
      </c>
      <c r="L17" s="19" t="n">
        <v>0.285</v>
      </c>
      <c r="M17" s="19" t="n">
        <v>0.235</v>
      </c>
      <c r="N17" s="19" t="n">
        <v>0.0333</v>
      </c>
      <c r="O17" s="18" t="n">
        <v>0.701</v>
      </c>
      <c r="P17" s="19" t="n">
        <v>0.0354</v>
      </c>
      <c r="Q17" s="18" t="n">
        <v>0.385</v>
      </c>
      <c r="R17" s="18" t="n">
        <v>0.245</v>
      </c>
      <c r="S17" s="19" t="n">
        <v>0.2975</v>
      </c>
      <c r="T17" s="19" t="n">
        <v>0.093</v>
      </c>
      <c r="U17" s="18" t="n">
        <v>73.55</v>
      </c>
      <c r="V17" s="18" t="n">
        <v>88</v>
      </c>
      <c r="W17" s="18" t="n">
        <v>19.5</v>
      </c>
      <c r="X17" s="18" t="n">
        <v>18.2</v>
      </c>
      <c r="Y17" s="18" t="n">
        <v>0.6</v>
      </c>
      <c r="Z17" s="18" t="n">
        <v>0.32</v>
      </c>
      <c r="AA17" s="20">
        <f>$AA$5*(E17-$AA$3)/$AA$4</f>
        <v/>
      </c>
      <c r="AB17" s="20">
        <f>$AB$5*(F17-$AB$3)/$AB$4</f>
        <v/>
      </c>
      <c r="AC17" s="20">
        <f>$AC$5*(G17-$AC$3)/$AC$4</f>
        <v/>
      </c>
      <c r="AD17" s="20">
        <f>$AD$5*(H17-$AD$3)/$AD$4</f>
        <v/>
      </c>
      <c r="AE17" s="20">
        <f>$AE$5*(I17-$AE$3)/$AE$4</f>
        <v/>
      </c>
      <c r="AF17" s="20">
        <f>$AF$5*(J17-$AF$3)/$AF$4</f>
        <v/>
      </c>
      <c r="AG17" s="20">
        <f>$AG$5*(K17-$AG$3)/$AG$4</f>
        <v/>
      </c>
      <c r="AH17" s="20">
        <f>$AH$5*(L17-$AH$3)/$AH$4</f>
        <v/>
      </c>
      <c r="AI17" s="20">
        <f>$AI$5*(M17-$AI$3)/$AI$4</f>
        <v/>
      </c>
      <c r="AJ17" s="20">
        <f>$AJ$5*(N17-$AJ$3)/$AJ$4</f>
        <v/>
      </c>
      <c r="AK17" s="20">
        <f>$AK$5*(O17-$AK$3)/$AK$4</f>
        <v/>
      </c>
      <c r="AL17" s="20">
        <f>$AL$5*(P17-$AL$3)/$AL$4</f>
        <v/>
      </c>
      <c r="AM17" s="20">
        <f>$AM$5*(Q17-$AM$3)/$AM$4</f>
        <v/>
      </c>
      <c r="AN17" s="20">
        <f>$AN$5*(R17-$AN$3)/$AN$4</f>
        <v/>
      </c>
      <c r="AO17" s="20">
        <f>$AO$5*(S17-$AO$3)/$AO$4</f>
        <v/>
      </c>
      <c r="AP17" s="20">
        <f>$AP$5*(T17-$AP$3)/$AP$4</f>
        <v/>
      </c>
      <c r="AQ17" s="20">
        <f>AVERAGE(AA17:AC17)</f>
        <v/>
      </c>
      <c r="AR17" s="20">
        <f>AVERAGE(AD17:AG17)</f>
        <v/>
      </c>
      <c r="AS17" s="20">
        <f>AVERAGE(AH17:AI17)</f>
        <v/>
      </c>
      <c r="AT17" s="20">
        <f>AVERAGE(AJ17:AK17)</f>
        <v/>
      </c>
      <c r="AU17" s="20">
        <f>AVERAGE(AL17:AN17)</f>
        <v/>
      </c>
      <c r="AV17" s="20">
        <f>AVERAGE(AO17:AP17)</f>
        <v/>
      </c>
      <c r="AW17" s="21">
        <f>NORM.S.DIST((AQ17-(-0.1198))/0.7607, TRUE)</f>
        <v/>
      </c>
      <c r="AX17" s="21">
        <f>NORM.S.DIST((AR17-(-0.1156))/0.4373, TRUE)</f>
        <v/>
      </c>
      <c r="AY17" s="21">
        <f>NORM.S.DIST((AS17-(-0.1217))/0.8011, TRUE)</f>
        <v/>
      </c>
      <c r="AZ17" s="21">
        <f>NORM.S.DIST((AT17-(-0.0842))/0.6584, TRUE)</f>
        <v/>
      </c>
      <c r="BA17" s="21">
        <f>NORM.S.DIST((AU17-(-0.1472))/0.6614, TRUE)</f>
        <v/>
      </c>
      <c r="BB17" s="21">
        <f>NORM.S.DIST((AV17-(-0.0465))/0.7884, TRUE)</f>
        <v/>
      </c>
      <c r="BC17" s="20">
        <f>AVERAGE(AR17:AV17)</f>
        <v/>
      </c>
      <c r="BD17" s="22">
        <f>AVERAGE(AX17:BB17)</f>
        <v/>
      </c>
      <c r="BE17" s="20">
        <f>AVERAGE(AQ17:AV17)</f>
        <v/>
      </c>
      <c r="BF17" s="22">
        <f>NORM.S.DIST((BE17-(-0.1058))/0.4068, TRUE)</f>
        <v/>
      </c>
      <c r="BG17" s="23">
        <f>BD17-BF17</f>
        <v/>
      </c>
      <c r="BH17" s="24" t="n">
        <v>0.1922</v>
      </c>
      <c r="BI17" s="24" t="n">
        <v>0.235</v>
      </c>
      <c r="BJ17" s="24" t="n">
        <v>-0.386</v>
      </c>
      <c r="BK17" s="25" t="n">
        <v>0.0312</v>
      </c>
    </row>
    <row r="18">
      <c r="A18" s="26" t="n">
        <v>12</v>
      </c>
      <c r="B18" s="27" t="inlineStr">
        <is>
          <t>刘彦春</t>
        </is>
      </c>
      <c r="C18" s="28" t="inlineStr">
        <is>
          <t>景顺长城新兴成长混合 (260108)</t>
        </is>
      </c>
      <c r="D18" s="27" t="inlineStr">
        <is>
          <t>消费龙头 · 高集中逆向重仓型</t>
        </is>
      </c>
      <c r="E18" s="29" t="n">
        <v>6570</v>
      </c>
      <c r="F18" s="30" t="n">
        <v>2.3979</v>
      </c>
      <c r="G18" s="30" t="n">
        <v>5.48</v>
      </c>
      <c r="H18" s="31" t="n">
        <v>0.075</v>
      </c>
      <c r="I18" s="31" t="n">
        <v>-0.065</v>
      </c>
      <c r="J18" s="30" t="n">
        <v>-0.5</v>
      </c>
      <c r="K18" s="31" t="n">
        <v>0.875</v>
      </c>
      <c r="L18" s="31" t="n">
        <v>0.595</v>
      </c>
      <c r="M18" s="31" t="n">
        <v>0.13</v>
      </c>
      <c r="N18" s="31" t="n">
        <v>0.045</v>
      </c>
      <c r="O18" s="30" t="n">
        <v>0.38</v>
      </c>
      <c r="P18" s="31" t="n">
        <v>0.095</v>
      </c>
      <c r="Q18" s="30" t="n">
        <v>0.48</v>
      </c>
      <c r="R18" s="30" t="n">
        <v>0.295</v>
      </c>
      <c r="S18" s="31" t="n">
        <v>0.135</v>
      </c>
      <c r="T18" s="31" t="n">
        <v>0.089</v>
      </c>
      <c r="U18" s="30" t="n">
        <v>48</v>
      </c>
      <c r="V18" s="30" t="n">
        <v>56</v>
      </c>
      <c r="W18" s="30" t="n">
        <v>14</v>
      </c>
      <c r="X18" s="30" t="n">
        <v>13.5</v>
      </c>
      <c r="Y18" s="30" t="n">
        <v>0.68</v>
      </c>
      <c r="Z18" s="30" t="n">
        <v>0.22</v>
      </c>
      <c r="AA18" s="32">
        <f>$AA$5*(E18-$AA$3)/$AA$4</f>
        <v/>
      </c>
      <c r="AB18" s="32">
        <f>$AB$5*(F18-$AB$3)/$AB$4</f>
        <v/>
      </c>
      <c r="AC18" s="32">
        <f>$AC$5*(G18-$AC$3)/$AC$4</f>
        <v/>
      </c>
      <c r="AD18" s="32">
        <f>$AD$5*(H18-$AD$3)/$AD$4</f>
        <v/>
      </c>
      <c r="AE18" s="32">
        <f>$AE$5*(I18-$AE$3)/$AE$4</f>
        <v/>
      </c>
      <c r="AF18" s="32">
        <f>$AF$5*(J18-$AF$3)/$AF$4</f>
        <v/>
      </c>
      <c r="AG18" s="32">
        <f>$AG$5*(K18-$AG$3)/$AG$4</f>
        <v/>
      </c>
      <c r="AH18" s="32">
        <f>$AH$5*(L18-$AH$3)/$AH$4</f>
        <v/>
      </c>
      <c r="AI18" s="32">
        <f>$AI$5*(M18-$AI$3)/$AI$4</f>
        <v/>
      </c>
      <c r="AJ18" s="32">
        <f>$AJ$5*(N18-$AJ$3)/$AJ$4</f>
        <v/>
      </c>
      <c r="AK18" s="32">
        <f>$AK$5*(O18-$AK$3)/$AK$4</f>
        <v/>
      </c>
      <c r="AL18" s="32">
        <f>$AL$5*(P18-$AL$3)/$AL$4</f>
        <v/>
      </c>
      <c r="AM18" s="32">
        <f>$AM$5*(Q18-$AM$3)/$AM$4</f>
        <v/>
      </c>
      <c r="AN18" s="32">
        <f>$AN$5*(R18-$AN$3)/$AN$4</f>
        <v/>
      </c>
      <c r="AO18" s="32">
        <f>$AO$5*(S18-$AO$3)/$AO$4</f>
        <v/>
      </c>
      <c r="AP18" s="32">
        <f>$AP$5*(T18-$AP$3)/$AP$4</f>
        <v/>
      </c>
      <c r="AQ18" s="32">
        <f>AVERAGE(AA18:AC18)</f>
        <v/>
      </c>
      <c r="AR18" s="32">
        <f>AVERAGE(AD18:AG18)</f>
        <v/>
      </c>
      <c r="AS18" s="32">
        <f>AVERAGE(AH18:AI18)</f>
        <v/>
      </c>
      <c r="AT18" s="32">
        <f>AVERAGE(AJ18:AK18)</f>
        <v/>
      </c>
      <c r="AU18" s="32">
        <f>AVERAGE(AL18:AN18)</f>
        <v/>
      </c>
      <c r="AV18" s="32">
        <f>AVERAGE(AO18:AP18)</f>
        <v/>
      </c>
      <c r="AW18" s="33">
        <f>NORM.S.DIST((AQ18-(-0.1198))/0.7607, TRUE)</f>
        <v/>
      </c>
      <c r="AX18" s="33">
        <f>NORM.S.DIST((AR18-(-0.1156))/0.4373, TRUE)</f>
        <v/>
      </c>
      <c r="AY18" s="33">
        <f>NORM.S.DIST((AS18-(-0.1217))/0.8011, TRUE)</f>
        <v/>
      </c>
      <c r="AZ18" s="33">
        <f>NORM.S.DIST((AT18-(-0.0842))/0.6584, TRUE)</f>
        <v/>
      </c>
      <c r="BA18" s="33">
        <f>NORM.S.DIST((AU18-(-0.1472))/0.6614, TRUE)</f>
        <v/>
      </c>
      <c r="BB18" s="33">
        <f>NORM.S.DIST((AV18-(-0.0465))/0.7884, TRUE)</f>
        <v/>
      </c>
      <c r="BC18" s="32">
        <f>AVERAGE(AR18:AV18)</f>
        <v/>
      </c>
      <c r="BD18" s="33">
        <f>AVERAGE(AX18:BB18)</f>
        <v/>
      </c>
      <c r="BE18" s="32">
        <f>AVERAGE(AQ18:AV18)</f>
        <v/>
      </c>
      <c r="BF18" s="33">
        <f>NORM.S.DIST((BE18-(-0.1058))/0.4068, TRUE)</f>
        <v/>
      </c>
      <c r="BG18" s="34">
        <f>BD18-BF18</f>
        <v/>
      </c>
      <c r="BH18" s="35" t="n">
        <v>0.143</v>
      </c>
      <c r="BI18" s="35" t="n">
        <v>0.275</v>
      </c>
      <c r="BJ18" s="35" t="n">
        <v>-0.5580000000000001</v>
      </c>
      <c r="BK18" s="36" t="n">
        <v>0.023</v>
      </c>
    </row>
    <row r="19">
      <c r="A19" s="14" t="n">
        <v>13</v>
      </c>
      <c r="B19" s="15" t="inlineStr">
        <is>
          <t>沃伦·巴菲特</t>
        </is>
      </c>
      <c r="C19" s="16" t="inlineStr">
        <is>
          <t>伯克希尔·哈撒韦 (BRK.A)</t>
        </is>
      </c>
      <c r="D19" s="15" t="inlineStr">
        <is>
          <t>价值集中 · 超长持有（文献标杆）</t>
        </is>
      </c>
      <c r="E19" s="17" t="n">
        <v>21900</v>
      </c>
      <c r="F19" s="18" t="n">
        <v>4.0943</v>
      </c>
      <c r="G19" s="18" t="n">
        <v>11.385</v>
      </c>
      <c r="H19" s="19" t="n">
        <v>0.145</v>
      </c>
      <c r="I19" s="19" t="n">
        <v>-0.015</v>
      </c>
      <c r="J19" s="18" t="n">
        <v>-8.5</v>
      </c>
      <c r="K19" s="19" t="n">
        <v>0.965</v>
      </c>
      <c r="L19" s="19" t="n">
        <v>0.889</v>
      </c>
      <c r="M19" s="19" t="n">
        <v>0.025</v>
      </c>
      <c r="N19" s="19" t="n">
        <v>0.015</v>
      </c>
      <c r="O19" s="18" t="n">
        <v>1.85</v>
      </c>
      <c r="P19" s="19" t="n">
        <v>0.285</v>
      </c>
      <c r="Q19" s="18" t="n">
        <v>1.45</v>
      </c>
      <c r="R19" s="18" t="n">
        <v>0.65</v>
      </c>
      <c r="S19" s="19" t="n">
        <v>0.035</v>
      </c>
      <c r="T19" s="19" t="n">
        <v>0.098</v>
      </c>
      <c r="U19" s="18" t="n">
        <v>8.5</v>
      </c>
      <c r="V19" s="18" t="n">
        <v>10</v>
      </c>
      <c r="W19" s="18" t="n">
        <v>3.5</v>
      </c>
      <c r="X19" s="18" t="n">
        <v>2.8</v>
      </c>
      <c r="Y19" s="18" t="n">
        <v>0.92</v>
      </c>
      <c r="Z19" s="18" t="n">
        <v>0.05</v>
      </c>
      <c r="AA19" s="20">
        <f>$AA$5*(E19-$AA$3)/$AA$4</f>
        <v/>
      </c>
      <c r="AB19" s="20">
        <f>$AB$5*(F19-$AB$3)/$AB$4</f>
        <v/>
      </c>
      <c r="AC19" s="20">
        <f>$AC$5*(G19-$AC$3)/$AC$4</f>
        <v/>
      </c>
      <c r="AD19" s="20">
        <f>$AD$5*(H19-$AD$3)/$AD$4</f>
        <v/>
      </c>
      <c r="AE19" s="20">
        <f>$AE$5*(I19-$AE$3)/$AE$4</f>
        <v/>
      </c>
      <c r="AF19" s="20">
        <f>$AF$5*(J19-$AF$3)/$AF$4</f>
        <v/>
      </c>
      <c r="AG19" s="20">
        <f>$AG$5*(K19-$AG$3)/$AG$4</f>
        <v/>
      </c>
      <c r="AH19" s="20">
        <f>$AH$5*(L19-$AH$3)/$AH$4</f>
        <v/>
      </c>
      <c r="AI19" s="20">
        <f>$AI$5*(M19-$AI$3)/$AI$4</f>
        <v/>
      </c>
      <c r="AJ19" s="20">
        <f>$AJ$5*(N19-$AJ$3)/$AJ$4</f>
        <v/>
      </c>
      <c r="AK19" s="20">
        <f>$AK$5*(O19-$AK$3)/$AK$4</f>
        <v/>
      </c>
      <c r="AL19" s="20">
        <f>$AL$5*(P19-$AL$3)/$AL$4</f>
        <v/>
      </c>
      <c r="AM19" s="20">
        <f>$AM$5*(Q19-$AM$3)/$AM$4</f>
        <v/>
      </c>
      <c r="AN19" s="20">
        <f>$AN$5*(R19-$AN$3)/$AN$4</f>
        <v/>
      </c>
      <c r="AO19" s="20">
        <f>$AO$5*(S19-$AO$3)/$AO$4</f>
        <v/>
      </c>
      <c r="AP19" s="20">
        <f>$AP$5*(T19-$AP$3)/$AP$4</f>
        <v/>
      </c>
      <c r="AQ19" s="20">
        <f>AVERAGE(AA19:AC19)</f>
        <v/>
      </c>
      <c r="AR19" s="20">
        <f>AVERAGE(AD19:AG19)</f>
        <v/>
      </c>
      <c r="AS19" s="20">
        <f>AVERAGE(AH19:AI19)</f>
        <v/>
      </c>
      <c r="AT19" s="20">
        <f>AVERAGE(AJ19:AK19)</f>
        <v/>
      </c>
      <c r="AU19" s="20">
        <f>AVERAGE(AL19:AN19)</f>
        <v/>
      </c>
      <c r="AV19" s="20">
        <f>AVERAGE(AO19:AP19)</f>
        <v/>
      </c>
      <c r="AW19" s="21">
        <f>NORM.S.DIST((AQ19-(-0.1198))/0.7607, TRUE)</f>
        <v/>
      </c>
      <c r="AX19" s="21">
        <f>NORM.S.DIST((AR19-(-0.1156))/0.4373, TRUE)</f>
        <v/>
      </c>
      <c r="AY19" s="21">
        <f>NORM.S.DIST((AS19-(-0.1217))/0.8011, TRUE)</f>
        <v/>
      </c>
      <c r="AZ19" s="21">
        <f>NORM.S.DIST((AT19-(-0.0842))/0.6584, TRUE)</f>
        <v/>
      </c>
      <c r="BA19" s="21">
        <f>NORM.S.DIST((AU19-(-0.1472))/0.6614, TRUE)</f>
        <v/>
      </c>
      <c r="BB19" s="21">
        <f>NORM.S.DIST((AV19-(-0.0465))/0.7884, TRUE)</f>
        <v/>
      </c>
      <c r="BC19" s="20">
        <f>AVERAGE(AR19:AV19)</f>
        <v/>
      </c>
      <c r="BD19" s="22">
        <f>AVERAGE(AX19:BB19)</f>
        <v/>
      </c>
      <c r="BE19" s="20">
        <f>AVERAGE(AQ19:AV19)</f>
        <v/>
      </c>
      <c r="BF19" s="22">
        <f>NORM.S.DIST((BE19-(-0.1058))/0.4068, TRUE)</f>
        <v/>
      </c>
      <c r="BG19" s="23">
        <f>BD19-BF19</f>
        <v/>
      </c>
      <c r="BH19" s="24" t="n">
        <v>0.199</v>
      </c>
      <c r="BI19" s="24" t="n">
        <v>0.185</v>
      </c>
      <c r="BJ19" s="24" t="n">
        <v>-0.5147</v>
      </c>
      <c r="BK19" s="25" t="n">
        <v>0.045</v>
      </c>
    </row>
    <row r="20">
      <c r="A20" s="26" t="n">
        <v>14</v>
      </c>
      <c r="B20" s="27" t="inlineStr">
        <is>
          <t>彼得·林奇</t>
        </is>
      </c>
      <c r="C20" s="28" t="inlineStr">
        <is>
          <t>富达麦哲伦基金 (Magellan)</t>
        </is>
      </c>
      <c r="D20" s="27" t="inlineStr">
        <is>
          <t>成长选股 · 勤勉调研（文献标杆）</t>
        </is>
      </c>
      <c r="E20" s="29" t="n">
        <v>4745</v>
      </c>
      <c r="F20" s="30" t="n">
        <v>2.5649</v>
      </c>
      <c r="G20" s="30" t="n">
        <v>7.244</v>
      </c>
      <c r="H20" s="31" t="n">
        <v>0.095</v>
      </c>
      <c r="I20" s="31" t="n">
        <v>-0.08500000000000001</v>
      </c>
      <c r="J20" s="30" t="n">
        <v>-2.1</v>
      </c>
      <c r="K20" s="31" t="n">
        <v>0.895</v>
      </c>
      <c r="L20" s="31" t="n">
        <v>0.125</v>
      </c>
      <c r="M20" s="31" t="n">
        <v>0.285</v>
      </c>
      <c r="N20" s="31" t="n">
        <v>0.285</v>
      </c>
      <c r="O20" s="30" t="n">
        <v>1.45</v>
      </c>
      <c r="P20" s="31" t="n">
        <v>0.35</v>
      </c>
      <c r="Q20" s="30" t="n">
        <v>1.85</v>
      </c>
      <c r="R20" s="30" t="n">
        <v>0.78</v>
      </c>
      <c r="S20" s="31" t="n">
        <v>0.32</v>
      </c>
      <c r="T20" s="31" t="n">
        <v>0.095</v>
      </c>
      <c r="U20" s="30" t="n">
        <v>280</v>
      </c>
      <c r="V20" s="30" t="n">
        <v>320</v>
      </c>
      <c r="W20" s="30" t="n">
        <v>75</v>
      </c>
      <c r="X20" s="30" t="n">
        <v>72</v>
      </c>
      <c r="Y20" s="30" t="n">
        <v>0.75</v>
      </c>
      <c r="Z20" s="30" t="n">
        <v>0.3</v>
      </c>
      <c r="AA20" s="32">
        <f>$AA$5*(E20-$AA$3)/$AA$4</f>
        <v/>
      </c>
      <c r="AB20" s="32">
        <f>$AB$5*(F20-$AB$3)/$AB$4</f>
        <v/>
      </c>
      <c r="AC20" s="32">
        <f>$AC$5*(G20-$AC$3)/$AC$4</f>
        <v/>
      </c>
      <c r="AD20" s="32">
        <f>$AD$5*(H20-$AD$3)/$AD$4</f>
        <v/>
      </c>
      <c r="AE20" s="32">
        <f>$AE$5*(I20-$AE$3)/$AE$4</f>
        <v/>
      </c>
      <c r="AF20" s="32">
        <f>$AF$5*(J20-$AF$3)/$AF$4</f>
        <v/>
      </c>
      <c r="AG20" s="32">
        <f>$AG$5*(K20-$AG$3)/$AG$4</f>
        <v/>
      </c>
      <c r="AH20" s="32">
        <f>$AH$5*(L20-$AH$3)/$AH$4</f>
        <v/>
      </c>
      <c r="AI20" s="32">
        <f>$AI$5*(M20-$AI$3)/$AI$4</f>
        <v/>
      </c>
      <c r="AJ20" s="32">
        <f>$AJ$5*(N20-$AJ$3)/$AJ$4</f>
        <v/>
      </c>
      <c r="AK20" s="32">
        <f>$AK$5*(O20-$AK$3)/$AK$4</f>
        <v/>
      </c>
      <c r="AL20" s="32">
        <f>$AL$5*(P20-$AL$3)/$AL$4</f>
        <v/>
      </c>
      <c r="AM20" s="32">
        <f>$AM$5*(Q20-$AM$3)/$AM$4</f>
        <v/>
      </c>
      <c r="AN20" s="32">
        <f>$AN$5*(R20-$AN$3)/$AN$4</f>
        <v/>
      </c>
      <c r="AO20" s="32">
        <f>$AO$5*(S20-$AO$3)/$AO$4</f>
        <v/>
      </c>
      <c r="AP20" s="32">
        <f>$AP$5*(T20-$AP$3)/$AP$4</f>
        <v/>
      </c>
      <c r="AQ20" s="32">
        <f>AVERAGE(AA20:AC20)</f>
        <v/>
      </c>
      <c r="AR20" s="32">
        <f>AVERAGE(AD20:AG20)</f>
        <v/>
      </c>
      <c r="AS20" s="32">
        <f>AVERAGE(AH20:AI20)</f>
        <v/>
      </c>
      <c r="AT20" s="32">
        <f>AVERAGE(AJ20:AK20)</f>
        <v/>
      </c>
      <c r="AU20" s="32">
        <f>AVERAGE(AL20:AN20)</f>
        <v/>
      </c>
      <c r="AV20" s="32">
        <f>AVERAGE(AO20:AP20)</f>
        <v/>
      </c>
      <c r="AW20" s="33">
        <f>NORM.S.DIST((AQ20-(-0.1198))/0.7607, TRUE)</f>
        <v/>
      </c>
      <c r="AX20" s="33">
        <f>NORM.S.DIST((AR20-(-0.1156))/0.4373, TRUE)</f>
        <v/>
      </c>
      <c r="AY20" s="33">
        <f>NORM.S.DIST((AS20-(-0.1217))/0.8011, TRUE)</f>
        <v/>
      </c>
      <c r="AZ20" s="33">
        <f>NORM.S.DIST((AT20-(-0.0842))/0.6584, TRUE)</f>
        <v/>
      </c>
      <c r="BA20" s="33">
        <f>NORM.S.DIST((AU20-(-0.1472))/0.6614, TRUE)</f>
        <v/>
      </c>
      <c r="BB20" s="33">
        <f>NORM.S.DIST((AV20-(-0.0465))/0.7884, TRUE)</f>
        <v/>
      </c>
      <c r="BC20" s="32">
        <f>AVERAGE(AR20:AV20)</f>
        <v/>
      </c>
      <c r="BD20" s="33">
        <f>AVERAGE(AX20:BB20)</f>
        <v/>
      </c>
      <c r="BE20" s="32">
        <f>AVERAGE(AQ20:AV20)</f>
        <v/>
      </c>
      <c r="BF20" s="33">
        <f>NORM.S.DIST((BE20-(-0.1058))/0.4068, TRUE)</f>
        <v/>
      </c>
      <c r="BG20" s="34">
        <f>BD20-BF20</f>
        <v/>
      </c>
      <c r="BH20" s="35" t="n">
        <v>0.292</v>
      </c>
      <c r="BI20" s="35" t="n">
        <v>0.215</v>
      </c>
      <c r="BJ20" s="35" t="n">
        <v>-0.314</v>
      </c>
      <c r="BK20" s="36" t="n">
        <v>0.068</v>
      </c>
    </row>
    <row r="21">
      <c r="A21" s="41" t="n">
        <v>15</v>
      </c>
      <c r="B21" s="42" t="inlineStr">
        <is>
          <t>段永平</t>
        </is>
      </c>
      <c r="C21" s="43" t="inlineStr">
        <is>
          <t>大道核心资产组合 (H&amp;H)</t>
        </is>
      </c>
      <c r="D21" s="42" t="inlineStr">
        <is>
          <t>商业洞察 · 终极集中型（商业领袖价值典范）</t>
        </is>
      </c>
      <c r="E21" s="44" t="n">
        <v>9125</v>
      </c>
      <c r="F21" s="45" t="n">
        <v>2.89</v>
      </c>
      <c r="G21" s="45" t="n">
        <v>9.856999999999999</v>
      </c>
      <c r="H21" s="46" t="n">
        <v>0.031</v>
      </c>
      <c r="I21" s="46" t="n">
        <v>-0.24</v>
      </c>
      <c r="J21" s="45" t="n">
        <v>-14</v>
      </c>
      <c r="K21" s="46" t="n">
        <v>0.88</v>
      </c>
      <c r="L21" s="46" t="n">
        <v>0.76</v>
      </c>
      <c r="M21" s="46" t="n">
        <v>0.028</v>
      </c>
      <c r="N21" s="46" t="n">
        <v>0.185</v>
      </c>
      <c r="O21" s="45" t="n">
        <v>0.95</v>
      </c>
      <c r="P21" s="46" t="n">
        <v>0.095</v>
      </c>
      <c r="Q21" s="45" t="n">
        <v>0.92</v>
      </c>
      <c r="R21" s="45" t="n">
        <v>0.31</v>
      </c>
      <c r="S21" s="46" t="n">
        <v>0.075</v>
      </c>
      <c r="T21" s="46" t="n">
        <v>0.051</v>
      </c>
      <c r="U21" s="45" t="n">
        <v>8.5</v>
      </c>
      <c r="V21" s="45" t="n">
        <v>10.2</v>
      </c>
      <c r="W21" s="45" t="n">
        <v>2.8</v>
      </c>
      <c r="X21" s="45" t="n">
        <v>2.4</v>
      </c>
      <c r="Y21" s="45" t="n">
        <v>0.85</v>
      </c>
      <c r="Z21" s="45" t="n">
        <v>0.15</v>
      </c>
      <c r="AA21" s="47">
        <f>$AA$5*(E21-$AA$3)/$AA$4</f>
        <v/>
      </c>
      <c r="AB21" s="47">
        <f>$AB$5*(F21-$AB$3)/$AB$4</f>
        <v/>
      </c>
      <c r="AC21" s="47">
        <f>$AC$5*(G21-$AC$3)/$AC$4</f>
        <v/>
      </c>
      <c r="AD21" s="47">
        <f>$AD$5*(H21-$AD$3)/$AD$4</f>
        <v/>
      </c>
      <c r="AE21" s="47">
        <f>$AE$5*(I21-$AE$3)/$AE$4</f>
        <v/>
      </c>
      <c r="AF21" s="47">
        <f>$AF$5*(J21-$AF$3)/$AF$4</f>
        <v/>
      </c>
      <c r="AG21" s="47">
        <f>$AG$5*(K21-$AG$3)/$AG$4</f>
        <v/>
      </c>
      <c r="AH21" s="47">
        <f>$AH$5*(L21-$AH$3)/$AH$4</f>
        <v/>
      </c>
      <c r="AI21" s="47">
        <f>$AI$5*(M21-$AI$3)/$AI$4</f>
        <v/>
      </c>
      <c r="AJ21" s="47">
        <f>$AJ$5*(N21-$AJ$3)/$AJ$4</f>
        <v/>
      </c>
      <c r="AK21" s="47">
        <f>$AK$5*(O21-$AK$3)/$AK$4</f>
        <v/>
      </c>
      <c r="AL21" s="47">
        <f>$AL$5*(P21-$AL$3)/$AL$4</f>
        <v/>
      </c>
      <c r="AM21" s="47">
        <f>$AM$5*(Q21-$AM$3)/$AM$4</f>
        <v/>
      </c>
      <c r="AN21" s="47">
        <f>$AN$5*(R21-$AN$3)/$AN$4</f>
        <v/>
      </c>
      <c r="AO21" s="47">
        <f>$AO$5*(S21-$AO$3)/$AO$4</f>
        <v/>
      </c>
      <c r="AP21" s="47">
        <f>$AP$5*(T21-$AP$3)/$AP$4</f>
        <v/>
      </c>
      <c r="AQ21" s="47">
        <f>AVERAGE(AA21:AC21)</f>
        <v/>
      </c>
      <c r="AR21" s="47">
        <f>AVERAGE(AD21:AG21)</f>
        <v/>
      </c>
      <c r="AS21" s="47">
        <f>AVERAGE(AH21:AI21)</f>
        <v/>
      </c>
      <c r="AT21" s="47">
        <f>AVERAGE(AJ21:AK21)</f>
        <v/>
      </c>
      <c r="AU21" s="47">
        <f>AVERAGE(AL21:AN21)</f>
        <v/>
      </c>
      <c r="AV21" s="47">
        <f>AVERAGE(AO21:AP21)</f>
        <v/>
      </c>
      <c r="AW21" s="48">
        <f>NORM.S.DIST((AQ21-(-0.1198))/0.7607, TRUE)</f>
        <v/>
      </c>
      <c r="AX21" s="48">
        <f>NORM.S.DIST((AR21-(-0.1156))/0.4373, TRUE)</f>
        <v/>
      </c>
      <c r="AY21" s="48">
        <f>NORM.S.DIST((AS21-(-0.1217))/0.8011, TRUE)</f>
        <v/>
      </c>
      <c r="AZ21" s="48">
        <f>NORM.S.DIST((AT21-(-0.0842))/0.6584, TRUE)</f>
        <v/>
      </c>
      <c r="BA21" s="48">
        <f>NORM.S.DIST((AU21-(-0.1472))/0.6614, TRUE)</f>
        <v/>
      </c>
      <c r="BB21" s="48">
        <f>NORM.S.DIST((AV21-(-0.0465))/0.7884, TRUE)</f>
        <v/>
      </c>
      <c r="BC21" s="47">
        <f>AVERAGE(AR21:AV21)</f>
        <v/>
      </c>
      <c r="BD21" s="49">
        <f>AVERAGE(AX21:BB21)</f>
        <v/>
      </c>
      <c r="BE21" s="47">
        <f>AVERAGE(AQ21:AV21)</f>
        <v/>
      </c>
      <c r="BF21" s="49">
        <f>NORM.S.DIST((BE21-(-0.1058))/0.4068, TRUE)</f>
        <v/>
      </c>
      <c r="BG21" s="50">
        <f>BD21-BF21</f>
        <v/>
      </c>
      <c r="BH21" s="51" t="n">
        <v>0.228</v>
      </c>
      <c r="BI21" s="51" t="n">
        <v>0.235</v>
      </c>
      <c r="BJ21" s="51" t="n">
        <v>-0.468</v>
      </c>
      <c r="BK21" s="52" t="n">
        <v>0.052</v>
      </c>
    </row>
  </sheetData>
  <mergeCells count="8">
    <mergeCell ref="E1:T1"/>
    <mergeCell ref="A1:D1"/>
    <mergeCell ref="BH1:BK1"/>
    <mergeCell ref="AA1:AP1"/>
    <mergeCell ref="AW1:BB1"/>
    <mergeCell ref="U1:Z1"/>
    <mergeCell ref="AQ1:AV1"/>
    <mergeCell ref="BC1:B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2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0" t="inlineStr">
        <is>
          <t>fund_code</t>
        </is>
      </c>
      <c r="B1" s="10" t="inlineStr">
        <is>
          <t>基金经理</t>
        </is>
      </c>
      <c r="C1" s="10" t="inlineStr">
        <is>
          <t>基金简称</t>
        </is>
      </c>
      <c r="D1" s="10" t="inlineStr">
        <is>
          <t>典型定位</t>
        </is>
      </c>
      <c r="E1" s="10" t="inlineStr">
        <is>
          <t>fund_code.1</t>
        </is>
      </c>
      <c r="F1" s="10" t="inlineStr">
        <is>
          <t>report_date</t>
        </is>
      </c>
      <c r="G1" s="10" t="inlineStr">
        <is>
          <t>year</t>
        </is>
      </c>
      <c r="H1" s="10" t="inlineStr">
        <is>
          <t>quarter</t>
        </is>
      </c>
      <c r="I1" s="10" t="inlineStr">
        <is>
          <t>quarter_return</t>
        </is>
      </c>
      <c r="J1" s="10" t="inlineStr">
        <is>
          <t>excess_return</t>
        </is>
      </c>
      <c r="K1" s="10" t="inlineStr">
        <is>
          <t>ff5_adj_return</t>
        </is>
      </c>
      <c r="L1" s="10" t="inlineStr">
        <is>
          <t>ARG</t>
        </is>
      </c>
      <c r="M1" s="10" t="inlineStr">
        <is>
          <t>total_buy</t>
        </is>
      </c>
      <c r="N1" s="10" t="inlineStr">
        <is>
          <t>total_sell</t>
        </is>
      </c>
      <c r="O1" s="10" t="inlineStr">
        <is>
          <t>pgr</t>
        </is>
      </c>
      <c r="P1" s="10" t="inlineStr">
        <is>
          <t>plr</t>
        </is>
      </c>
      <c r="Q1" s="10" t="inlineStr">
        <is>
          <t>TO_wind_clean</t>
        </is>
      </c>
      <c r="R1" s="10" t="inlineStr">
        <is>
          <t>TO_two_sided</t>
        </is>
      </c>
      <c r="S1" s="10" t="inlineStr">
        <is>
          <t>ICI</t>
        </is>
      </c>
      <c r="T1" s="10" t="inlineStr">
        <is>
          <t>industry_hhi</t>
        </is>
      </c>
      <c r="U1" s="10" t="inlineStr">
        <is>
          <t>ISDI</t>
        </is>
      </c>
      <c r="V1" s="10" t="inlineStr">
        <is>
          <t>SDI</t>
        </is>
      </c>
      <c r="W1" s="10" t="inlineStr">
        <is>
          <t>de</t>
        </is>
      </c>
      <c r="X1" s="10" t="inlineStr">
        <is>
          <t>oc_conf</t>
        </is>
      </c>
      <c r="Y1" s="10" t="inlineStr">
        <is>
          <t>risk_asym</t>
        </is>
      </c>
      <c r="Z1" s="10" t="inlineStr">
        <is>
          <t>anchor_high</t>
        </is>
      </c>
      <c r="AA1" s="10" t="inlineStr">
        <is>
          <t>timing</t>
        </is>
      </c>
      <c r="AB1" s="10" t="inlineStr">
        <is>
          <t>mppm8_lag</t>
        </is>
      </c>
      <c r="AC1" s="10" t="inlineStr">
        <is>
          <t>sortino8_lag</t>
        </is>
      </c>
      <c r="AD1" s="10" t="inlineStr">
        <is>
          <t>sharpe8_lag</t>
        </is>
      </c>
      <c r="AE1" s="10" t="inlineStr">
        <is>
          <t>return_volatility</t>
        </is>
      </c>
      <c r="AF1" s="10" t="inlineStr">
        <is>
          <t>lsv</t>
        </is>
      </c>
      <c r="AG1" s="10" t="inlineStr">
        <is>
          <t>avg_aum</t>
        </is>
      </c>
      <c r="AH1" s="10" t="inlineStr">
        <is>
          <t>log_aum</t>
        </is>
      </c>
      <c r="AI1" s="10" t="inlineStr">
        <is>
          <t>mgr_total_tenure_v2</t>
        </is>
      </c>
      <c r="AJ1" s="10" t="inlineStr">
        <is>
          <t>log_fund_age</t>
        </is>
      </c>
    </row>
    <row r="2">
      <c r="A2" s="37" t="n">
        <v>18956</v>
      </c>
      <c r="B2" s="16" t="inlineStr">
        <is>
          <t>韩浩、王森</t>
        </is>
      </c>
      <c r="C2" s="16" t="inlineStr">
        <is>
          <t>中航机遇领航混合发起A</t>
        </is>
      </c>
      <c r="D2" s="16" t="inlineStr">
        <is>
          <t>全能型：综合能力最高</t>
        </is>
      </c>
      <c r="E2" s="37" t="n">
        <v>18956</v>
      </c>
      <c r="F2" s="38" t="n">
        <v>45200</v>
      </c>
      <c r="G2" s="37" t="n">
        <v>2023</v>
      </c>
      <c r="H2" s="37" t="n">
        <v>3</v>
      </c>
      <c r="I2" s="19" t="n">
        <v>0.0381</v>
      </c>
      <c r="J2" s="19" t="n">
        <v>0.0356</v>
      </c>
      <c r="K2" s="19" t="n">
        <v>0.0541269883987781</v>
      </c>
      <c r="L2" s="37" t="n"/>
      <c r="M2" s="37" t="n"/>
      <c r="N2" s="37" t="n"/>
      <c r="O2" s="37" t="n"/>
      <c r="P2" s="37" t="n"/>
      <c r="Q2" s="37" t="n"/>
      <c r="R2" s="37" t="n"/>
      <c r="S2" s="19" t="n">
        <v>0.421895</v>
      </c>
      <c r="T2" s="19" t="n">
        <v>0.103012</v>
      </c>
      <c r="U2" s="37" t="n"/>
      <c r="V2" s="37" t="n"/>
      <c r="W2" s="37" t="n"/>
      <c r="X2" s="37" t="n"/>
      <c r="Y2" s="37" t="n"/>
      <c r="Z2" s="19" t="n">
        <v>0.7945515337240513</v>
      </c>
      <c r="AA2" s="37" t="n"/>
      <c r="AB2" s="37" t="n"/>
      <c r="AC2" s="37" t="n"/>
      <c r="AD2" s="37" t="n"/>
      <c r="AE2" s="37" t="n"/>
      <c r="AF2" s="37" t="n"/>
      <c r="AG2" s="19" t="n">
        <v>0.11</v>
      </c>
      <c r="AH2" s="37" t="n">
        <v>0</v>
      </c>
      <c r="AI2" s="37" t="n">
        <v>52</v>
      </c>
      <c r="AJ2" s="37" t="n">
        <v>-1.949420464200058</v>
      </c>
    </row>
    <row r="3">
      <c r="A3" s="37" t="n">
        <v>18956</v>
      </c>
      <c r="B3" s="16" t="inlineStr">
        <is>
          <t>韩浩、王森</t>
        </is>
      </c>
      <c r="C3" s="16" t="inlineStr">
        <is>
          <t>中航机遇领航混合发起A</t>
        </is>
      </c>
      <c r="D3" s="16" t="inlineStr">
        <is>
          <t>全能型：综合能力最高</t>
        </is>
      </c>
      <c r="E3" s="37" t="n">
        <v>18956</v>
      </c>
      <c r="F3" s="38" t="n">
        <v>45292</v>
      </c>
      <c r="G3" s="37" t="n">
        <v>2023</v>
      </c>
      <c r="H3" s="37" t="n">
        <v>4</v>
      </c>
      <c r="I3" s="19" t="n">
        <v>-0.1004720161834119</v>
      </c>
      <c r="J3" s="19" t="n">
        <v>-0.1029720161834119</v>
      </c>
      <c r="K3" s="19" t="n">
        <v>0.0541269883987781</v>
      </c>
      <c r="L3" s="19" t="n">
        <v>0.4088631782272371</v>
      </c>
      <c r="M3" s="37" t="n"/>
      <c r="N3" s="37" t="n"/>
      <c r="O3" s="37" t="n"/>
      <c r="P3" s="37" t="n"/>
      <c r="Q3" s="37" t="n">
        <v>277.820205301799</v>
      </c>
      <c r="R3" s="37" t="n"/>
      <c r="S3" s="19" t="n">
        <v>0.608866</v>
      </c>
      <c r="T3" s="19" t="n">
        <v>0.07945000000000001</v>
      </c>
      <c r="U3" s="37" t="n">
        <v>0</v>
      </c>
      <c r="V3" s="37" t="n"/>
      <c r="W3" s="37" t="n"/>
      <c r="X3" s="37" t="n"/>
      <c r="Y3" s="37" t="n"/>
      <c r="Z3" s="19" t="n">
        <v>0.7431234342466811</v>
      </c>
      <c r="AA3" s="37" t="n"/>
      <c r="AB3" s="37" t="n"/>
      <c r="AC3" s="37" t="n"/>
      <c r="AD3" s="37" t="n"/>
      <c r="AE3" s="37" t="n"/>
      <c r="AF3" s="19" t="n">
        <v>0.0658879072505168</v>
      </c>
      <c r="AG3" s="19" t="n">
        <v>0.14</v>
      </c>
      <c r="AH3" s="37" t="n">
        <v>0</v>
      </c>
      <c r="AI3" s="37" t="n">
        <v>144</v>
      </c>
      <c r="AJ3" s="19" t="n">
        <v>-0.9308508832054848</v>
      </c>
    </row>
    <row r="4">
      <c r="A4" s="37" t="n">
        <v>18956</v>
      </c>
      <c r="B4" s="16" t="inlineStr">
        <is>
          <t>韩浩、王森</t>
        </is>
      </c>
      <c r="C4" s="16" t="inlineStr">
        <is>
          <t>中航机遇领航混合发起A</t>
        </is>
      </c>
      <c r="D4" s="16" t="inlineStr">
        <is>
          <t>全能型：综合能力最高</t>
        </is>
      </c>
      <c r="E4" s="37" t="n">
        <v>18956</v>
      </c>
      <c r="F4" s="38" t="n">
        <v>45383</v>
      </c>
      <c r="G4" s="37" t="n">
        <v>2024</v>
      </c>
      <c r="H4" s="37" t="n">
        <v>1</v>
      </c>
      <c r="I4" s="19" t="n">
        <v>0.1805525808524308</v>
      </c>
      <c r="J4" s="19" t="n">
        <v>0.1780525808524308</v>
      </c>
      <c r="K4" s="19" t="n">
        <v>0.0541269883987781</v>
      </c>
      <c r="L4" s="19" t="n">
        <v>0.7227676183621548</v>
      </c>
      <c r="M4" s="37" t="n"/>
      <c r="N4" s="37" t="n"/>
      <c r="O4" s="37" t="n"/>
      <c r="P4" s="37" t="n"/>
      <c r="Q4" s="37" t="n">
        <v>277.820205301799</v>
      </c>
      <c r="R4" s="37" t="n"/>
      <c r="S4" s="19" t="n">
        <v>0.759839</v>
      </c>
      <c r="T4" s="19" t="n">
        <v>0.095668</v>
      </c>
      <c r="U4" s="37" t="n">
        <v>0</v>
      </c>
      <c r="V4" s="37" t="n"/>
      <c r="W4" s="37" t="n"/>
      <c r="X4" s="37" t="n">
        <v>0</v>
      </c>
      <c r="Y4" s="37" t="n"/>
      <c r="Z4" s="19" t="n">
        <v>0.8323815041902383</v>
      </c>
      <c r="AA4" s="37" t="n"/>
      <c r="AB4" s="37" t="n"/>
      <c r="AC4" s="37" t="n"/>
      <c r="AD4" s="37" t="n"/>
      <c r="AE4" s="19" t="n">
        <v>0.1405167638870963</v>
      </c>
      <c r="AF4" s="19" t="n">
        <v>0.1739633845137879</v>
      </c>
      <c r="AG4" s="37" t="n">
        <v>1.21</v>
      </c>
      <c r="AH4" s="19" t="n">
        <v>0.1906203596086497</v>
      </c>
      <c r="AI4" s="37" t="n">
        <v>235</v>
      </c>
      <c r="AJ4" s="19" t="n">
        <v>-0.4410786686373265</v>
      </c>
    </row>
    <row r="5">
      <c r="A5" s="37" t="n">
        <v>18956</v>
      </c>
      <c r="B5" s="16" t="inlineStr">
        <is>
          <t>韩浩、王森</t>
        </is>
      </c>
      <c r="C5" s="16" t="inlineStr">
        <is>
          <t>中航机遇领航混合发起A</t>
        </is>
      </c>
      <c r="D5" s="16" t="inlineStr">
        <is>
          <t>全能型：综合能力最高</t>
        </is>
      </c>
      <c r="E5" s="37" t="n">
        <v>18956</v>
      </c>
      <c r="F5" s="38" t="n">
        <v>45474</v>
      </c>
      <c r="G5" s="37" t="n">
        <v>2024</v>
      </c>
      <c r="H5" s="37" t="n">
        <v>2</v>
      </c>
      <c r="I5" s="19" t="n">
        <v>-0.0221335268505077</v>
      </c>
      <c r="J5" s="19" t="n">
        <v>-0.0246335268505077</v>
      </c>
      <c r="K5" s="19" t="n">
        <v>0.0541269883987781</v>
      </c>
      <c r="L5" s="19" t="n">
        <v>0.2200900954373848</v>
      </c>
      <c r="M5" s="37" t="n"/>
      <c r="N5" s="37" t="n"/>
      <c r="O5" s="37" t="n">
        <v>0</v>
      </c>
      <c r="P5" s="19" t="n">
        <v>0.75</v>
      </c>
      <c r="Q5" s="37" t="n">
        <v>201.144652607045</v>
      </c>
      <c r="R5" s="37" t="n"/>
      <c r="S5" s="19" t="n">
        <v>0.387163</v>
      </c>
      <c r="T5" s="19" t="n">
        <v>0.082506</v>
      </c>
      <c r="U5" s="37" t="n">
        <v>0</v>
      </c>
      <c r="V5" s="37" t="n"/>
      <c r="W5" s="19" t="n">
        <v>-0.75</v>
      </c>
      <c r="X5" s="37" t="n">
        <v>-76.67555269475397</v>
      </c>
      <c r="Y5" s="19" t="n">
        <v>0.0320570457597633</v>
      </c>
      <c r="Z5" s="19" t="n">
        <v>0.8533812633831378</v>
      </c>
      <c r="AA5" s="37" t="n"/>
      <c r="AB5" s="37" t="n"/>
      <c r="AC5" s="37" t="n"/>
      <c r="AD5" s="37" t="n"/>
      <c r="AE5" s="19" t="n">
        <v>0.118784265415427</v>
      </c>
      <c r="AF5" s="19" t="n">
        <v>0.1312843694268438</v>
      </c>
      <c r="AG5" s="19" t="n">
        <v>0.88</v>
      </c>
      <c r="AH5" s="37" t="n">
        <v>0</v>
      </c>
      <c r="AI5" s="37" t="n">
        <v>326</v>
      </c>
      <c r="AJ5" s="19" t="n">
        <v>-0.1137668014147777</v>
      </c>
    </row>
    <row r="6">
      <c r="A6" s="37" t="n">
        <v>18956</v>
      </c>
      <c r="B6" s="16" t="inlineStr">
        <is>
          <t>韩浩、王森</t>
        </is>
      </c>
      <c r="C6" s="16" t="inlineStr">
        <is>
          <t>中航机遇领航混合发起A</t>
        </is>
      </c>
      <c r="D6" s="16" t="inlineStr">
        <is>
          <t>全能型：综合能力最高</t>
        </is>
      </c>
      <c r="E6" s="37" t="n">
        <v>18956</v>
      </c>
      <c r="F6" s="38" t="n">
        <v>45566</v>
      </c>
      <c r="G6" s="37" t="n">
        <v>2024</v>
      </c>
      <c r="H6" s="37" t="n">
        <v>3</v>
      </c>
      <c r="I6" s="19" t="n">
        <v>0.1082560296846009</v>
      </c>
      <c r="J6" s="19" t="n">
        <v>0.1057560296846009</v>
      </c>
      <c r="K6" s="19" t="n">
        <v>0.0541269883987781</v>
      </c>
      <c r="L6" s="19" t="n">
        <v>0.3847985145020211</v>
      </c>
      <c r="M6" s="37" t="n"/>
      <c r="N6" s="37" t="n"/>
      <c r="O6" s="37" t="n"/>
      <c r="P6" s="37" t="n"/>
      <c r="Q6" s="37" t="n">
        <v>201.144652607045</v>
      </c>
      <c r="R6" s="37" t="n"/>
      <c r="S6" s="19" t="n">
        <v>0.346354</v>
      </c>
      <c r="T6" s="19" t="n">
        <v>0.09861200000000001</v>
      </c>
      <c r="U6" s="37" t="n">
        <v>0</v>
      </c>
      <c r="V6" s="37" t="n"/>
      <c r="W6" s="37" t="n"/>
      <c r="X6" s="37" t="n">
        <v>0</v>
      </c>
      <c r="Y6" s="19" t="n">
        <v>0.0189889663745308</v>
      </c>
      <c r="Z6" s="19" t="n">
        <v>0.9276303711549896</v>
      </c>
      <c r="AA6" s="37" t="n"/>
      <c r="AB6" s="19" t="n">
        <v>0.0267981240329462</v>
      </c>
      <c r="AC6" s="37" t="n"/>
      <c r="AD6" s="19" t="n">
        <v>0.1810994021758202</v>
      </c>
      <c r="AE6" s="19" t="n">
        <v>0.109552250985674</v>
      </c>
      <c r="AF6" s="19" t="n">
        <v>0.1504681872044012</v>
      </c>
      <c r="AG6" s="19" t="n">
        <v>0.96</v>
      </c>
      <c r="AH6" s="37" t="n">
        <v>0</v>
      </c>
      <c r="AI6" s="37" t="n">
        <v>418</v>
      </c>
      <c r="AJ6" s="19" t="n">
        <v>0.1348172497432708</v>
      </c>
    </row>
    <row r="7">
      <c r="A7" s="37" t="n">
        <v>18956</v>
      </c>
      <c r="B7" s="16" t="inlineStr">
        <is>
          <t>韩浩、王森</t>
        </is>
      </c>
      <c r="C7" s="16" t="inlineStr">
        <is>
          <t>中航机遇领航混合发起A</t>
        </is>
      </c>
      <c r="D7" s="16" t="inlineStr">
        <is>
          <t>全能型：综合能力最高</t>
        </is>
      </c>
      <c r="E7" s="37" t="n">
        <v>18956</v>
      </c>
      <c r="F7" s="38" t="n">
        <v>45658</v>
      </c>
      <c r="G7" s="37" t="n">
        <v>2024</v>
      </c>
      <c r="H7" s="37" t="n">
        <v>4</v>
      </c>
      <c r="I7" s="19" t="n">
        <v>0.1230434418682506</v>
      </c>
      <c r="J7" s="19" t="n">
        <v>0.1205434418682506</v>
      </c>
      <c r="K7" s="19" t="n">
        <v>0.0541269883987781</v>
      </c>
      <c r="L7" s="19" t="n">
        <v>0.3263118751090955</v>
      </c>
      <c r="M7" s="37" t="n"/>
      <c r="N7" s="37" t="n"/>
      <c r="O7" s="19" t="n">
        <v>0.2941176470588235</v>
      </c>
      <c r="P7" s="19" t="n">
        <v>0.2</v>
      </c>
      <c r="Q7" s="37" t="n">
        <v>271.25184561343</v>
      </c>
      <c r="R7" s="37" t="n"/>
      <c r="S7" s="19" t="n">
        <v>0.342468</v>
      </c>
      <c r="T7" s="19" t="n">
        <v>0.08461200000000001</v>
      </c>
      <c r="U7" s="19" t="n">
        <v>0.000446877443861</v>
      </c>
      <c r="V7" s="37" t="n"/>
      <c r="W7" s="19" t="n">
        <v>0.0941176470588235</v>
      </c>
      <c r="X7" s="37" t="n">
        <v>70.10719300638502</v>
      </c>
      <c r="Y7" s="19" t="n">
        <v>0.0115645917654619</v>
      </c>
      <c r="Z7" s="19" t="n">
        <v>0.8851735304651137</v>
      </c>
      <c r="AA7" s="37" t="n"/>
      <c r="AB7" s="19" t="n">
        <v>0.0962740289924925</v>
      </c>
      <c r="AC7" s="37" t="n"/>
      <c r="AD7" s="19" t="n">
        <v>0.3501581497000804</v>
      </c>
      <c r="AE7" s="19" t="n">
        <v>0.1035713575427089</v>
      </c>
      <c r="AF7" s="19" t="n">
        <v>0.0479067143281441</v>
      </c>
      <c r="AG7" s="37" t="n">
        <v>1.16</v>
      </c>
      <c r="AH7" s="19" t="n">
        <v>0.1484200051182732</v>
      </c>
      <c r="AI7" s="37" t="n">
        <v>510</v>
      </c>
      <c r="AJ7" s="19" t="n">
        <v>0.333746542936886</v>
      </c>
    </row>
    <row r="8">
      <c r="A8" s="37" t="n">
        <v>18956</v>
      </c>
      <c r="B8" s="16" t="inlineStr">
        <is>
          <t>韩浩、王森</t>
        </is>
      </c>
      <c r="C8" s="16" t="inlineStr">
        <is>
          <t>中航机遇领航混合发起A</t>
        </is>
      </c>
      <c r="D8" s="16" t="inlineStr">
        <is>
          <t>全能型：综合能力最高</t>
        </is>
      </c>
      <c r="E8" s="37" t="n">
        <v>18956</v>
      </c>
      <c r="F8" s="38" t="n">
        <v>45748</v>
      </c>
      <c r="G8" s="37" t="n">
        <v>2025</v>
      </c>
      <c r="H8" s="37" t="n">
        <v>1</v>
      </c>
      <c r="I8" s="19" t="n">
        <v>-0.0725199373928597</v>
      </c>
      <c r="J8" s="19" t="n">
        <v>-0.0750199373928597</v>
      </c>
      <c r="K8" s="19" t="n">
        <v>0.0541269883987781</v>
      </c>
      <c r="L8" s="19" t="n">
        <v>0.1380494858535998</v>
      </c>
      <c r="M8" s="37" t="n"/>
      <c r="N8" s="37" t="n"/>
      <c r="O8" s="37" t="n"/>
      <c r="P8" s="37" t="n"/>
      <c r="Q8" s="37" t="n">
        <v>271.25184561343</v>
      </c>
      <c r="R8" s="37" t="n"/>
      <c r="S8" s="19" t="n">
        <v>0.350492</v>
      </c>
      <c r="T8" s="19" t="n">
        <v>0.098923</v>
      </c>
      <c r="U8" s="19" t="n">
        <v>0.000446877443861</v>
      </c>
      <c r="V8" s="37" t="n"/>
      <c r="W8" s="37" t="n"/>
      <c r="X8" s="37" t="n">
        <v>0</v>
      </c>
      <c r="Y8" s="19" t="n">
        <v>0.0183180858244337</v>
      </c>
      <c r="Z8" s="19" t="n">
        <v>0.824333336898721</v>
      </c>
      <c r="AA8" s="37" t="n"/>
      <c r="AB8" s="19" t="n">
        <v>0.1516522176708096</v>
      </c>
      <c r="AC8" s="37" t="n"/>
      <c r="AD8" s="19" t="n">
        <v>0.5026269115032803</v>
      </c>
      <c r="AE8" s="19" t="n">
        <v>0.1060478719161747</v>
      </c>
      <c r="AF8" s="19" t="n">
        <v>0.08550792789096941</v>
      </c>
      <c r="AG8" s="19" t="n">
        <v>0.98</v>
      </c>
      <c r="AH8" s="37" t="n">
        <v>0</v>
      </c>
      <c r="AI8" s="37" t="n">
        <v>600</v>
      </c>
      <c r="AJ8" s="19" t="n">
        <v>0.4962654724346609</v>
      </c>
    </row>
    <row r="9">
      <c r="A9" s="37" t="n">
        <v>18956</v>
      </c>
      <c r="B9" s="16" t="inlineStr">
        <is>
          <t>韩浩、王森</t>
        </is>
      </c>
      <c r="C9" s="16" t="inlineStr">
        <is>
          <t>中航机遇领航混合发起A</t>
        </is>
      </c>
      <c r="D9" s="16" t="inlineStr">
        <is>
          <t>全能型：综合能力最高</t>
        </is>
      </c>
      <c r="E9" s="37" t="n">
        <v>18956</v>
      </c>
      <c r="F9" s="38" t="n">
        <v>45839</v>
      </c>
      <c r="G9" s="37" t="n">
        <v>2025</v>
      </c>
      <c r="H9" s="37" t="n">
        <v>2</v>
      </c>
      <c r="I9" s="19" t="n">
        <v>0.2983767277402773</v>
      </c>
      <c r="J9" s="19" t="n">
        <v>0.2958767277402773</v>
      </c>
      <c r="K9" s="19" t="n">
        <v>0.0541269883987781</v>
      </c>
      <c r="L9" s="19" t="n">
        <v>0.5771293055086764</v>
      </c>
      <c r="M9" s="37" t="n"/>
      <c r="N9" s="37" t="n"/>
      <c r="O9" s="19" t="n">
        <v>0.6666666666666666</v>
      </c>
      <c r="P9" s="37" t="n">
        <v>1</v>
      </c>
      <c r="Q9" s="37" t="n">
        <v>228.507242212797</v>
      </c>
      <c r="R9" s="37" t="n"/>
      <c r="S9" s="19" t="n">
        <v>0.449075</v>
      </c>
      <c r="T9" s="19" t="n">
        <v>0.089798</v>
      </c>
      <c r="U9" s="37" t="n">
        <v>0</v>
      </c>
      <c r="V9" s="37" t="n"/>
      <c r="W9" s="19" t="n">
        <v>-0.3333333333333333</v>
      </c>
      <c r="X9" s="37" t="n">
        <v>0</v>
      </c>
      <c r="Y9" s="19" t="n">
        <v>0.05469266462377</v>
      </c>
      <c r="Z9" s="19" t="n">
        <v>0.9267339795719814</v>
      </c>
      <c r="AA9" s="37" t="n"/>
      <c r="AB9" s="19" t="n">
        <v>0.07861700754088551</v>
      </c>
      <c r="AC9" s="19" t="n">
        <v>0.853977865487886</v>
      </c>
      <c r="AD9" s="19" t="n">
        <v>0.3197027473000889</v>
      </c>
      <c r="AE9" s="19" t="n">
        <v>0.1349751282237508</v>
      </c>
      <c r="AF9" s="19" t="n">
        <v>0.046764922024221</v>
      </c>
      <c r="AG9" s="37" t="n">
        <v>1.25</v>
      </c>
      <c r="AH9" s="19" t="n">
        <v>0.2231435513142097</v>
      </c>
      <c r="AI9" s="37" t="n">
        <v>691</v>
      </c>
      <c r="AJ9" s="19" t="n">
        <v>0.6374756409861844</v>
      </c>
    </row>
    <row r="10">
      <c r="A10" s="37" t="n">
        <v>18956</v>
      </c>
      <c r="B10" s="16" t="inlineStr">
        <is>
          <t>韩浩、王森</t>
        </is>
      </c>
      <c r="C10" s="16" t="inlineStr">
        <is>
          <t>中航机遇领航混合发起A</t>
        </is>
      </c>
      <c r="D10" s="16" t="inlineStr">
        <is>
          <t>全能型：综合能力最高</t>
        </is>
      </c>
      <c r="E10" s="37" t="n">
        <v>18956</v>
      </c>
      <c r="F10" s="38" t="n">
        <v>45931</v>
      </c>
      <c r="G10" s="37" t="n">
        <v>2025</v>
      </c>
      <c r="H10" s="37" t="n">
        <v>3</v>
      </c>
      <c r="I10" s="19" t="n">
        <v>0.8864269356935086</v>
      </c>
      <c r="J10" s="19" t="n">
        <v>0.8839269356935087</v>
      </c>
      <c r="K10" s="19" t="n">
        <v>0.0541269883987781</v>
      </c>
      <c r="L10" s="19" t="n">
        <v>0.9779413936501432</v>
      </c>
      <c r="M10" s="37" t="n"/>
      <c r="N10" s="37" t="n"/>
      <c r="O10" s="37" t="n"/>
      <c r="P10" s="37" t="n"/>
      <c r="Q10" s="37" t="n">
        <v>228.507242212797</v>
      </c>
      <c r="R10" s="37" t="n"/>
      <c r="S10" s="19" t="n">
        <v>0.366445</v>
      </c>
      <c r="T10" s="19" t="n">
        <v>0.080299</v>
      </c>
      <c r="U10" s="37" t="n">
        <v>0</v>
      </c>
      <c r="V10" s="37" t="n"/>
      <c r="W10" s="37" t="n"/>
      <c r="X10" s="37" t="n">
        <v>0</v>
      </c>
      <c r="Y10" s="19" t="n">
        <v>0.2589183462634483</v>
      </c>
      <c r="Z10" s="19" t="n">
        <v>0.9622457504236698</v>
      </c>
      <c r="AA10" s="37" t="n"/>
      <c r="AB10" s="19" t="n">
        <v>0.1759297044494268</v>
      </c>
      <c r="AC10" s="37" t="n">
        <v>1.678808384045648</v>
      </c>
      <c r="AD10" s="19" t="n">
        <v>0.4937977340118537</v>
      </c>
      <c r="AE10" s="19" t="n">
        <v>0.3172532697685207</v>
      </c>
      <c r="AF10" s="19" t="n">
        <v>0.08648344870130679</v>
      </c>
      <c r="AG10" s="37" t="n">
        <v>18.81</v>
      </c>
      <c r="AH10" s="37" t="n">
        <v>2.934388643312939</v>
      </c>
      <c r="AI10" s="37" t="n">
        <v>783</v>
      </c>
      <c r="AJ10" s="19" t="n">
        <v>0.7624685132093176</v>
      </c>
    </row>
    <row r="11">
      <c r="A11" s="37" t="n">
        <v>18956</v>
      </c>
      <c r="B11" s="16" t="inlineStr">
        <is>
          <t>韩浩、王森</t>
        </is>
      </c>
      <c r="C11" s="16" t="inlineStr">
        <is>
          <t>中航机遇领航混合发起A</t>
        </is>
      </c>
      <c r="D11" s="16" t="inlineStr">
        <is>
          <t>全能型：综合能力最高</t>
        </is>
      </c>
      <c r="E11" s="37" t="n">
        <v>18956</v>
      </c>
      <c r="F11" s="38" t="n">
        <v>46023</v>
      </c>
      <c r="G11" s="37" t="n">
        <v>2025</v>
      </c>
      <c r="H11" s="37" t="n">
        <v>4</v>
      </c>
      <c r="I11" s="19" t="n">
        <v>0.1837986810590899</v>
      </c>
      <c r="J11" s="19" t="n">
        <v>0.1812986810590899</v>
      </c>
      <c r="K11" s="19" t="n">
        <v>0.0541269883987781</v>
      </c>
      <c r="L11" s="19" t="n">
        <v>0.2525320868551472</v>
      </c>
      <c r="M11" s="37" t="n"/>
      <c r="N11" s="37" t="n"/>
      <c r="O11" s="19" t="n">
        <v>0.6176470588235294</v>
      </c>
      <c r="P11" s="19" t="n">
        <v>0.7272727272727273</v>
      </c>
      <c r="Q11" s="37" t="n"/>
      <c r="R11" s="37" t="n"/>
      <c r="S11" s="19" t="n">
        <v>0.400159</v>
      </c>
      <c r="T11" s="19" t="n">
        <v>0.079205</v>
      </c>
      <c r="U11" s="37" t="n">
        <v>0</v>
      </c>
      <c r="V11" s="37" t="n">
        <v>0</v>
      </c>
      <c r="W11" s="19" t="n">
        <v>-0.1096256684491978</v>
      </c>
      <c r="X11" s="37" t="n"/>
      <c r="Y11" s="19" t="n">
        <v>0.2455112215599185</v>
      </c>
      <c r="Z11" s="19" t="n">
        <v>0.984709447160902</v>
      </c>
      <c r="AA11" s="37" t="n"/>
      <c r="AB11" s="19" t="n">
        <v>0.3617938492069651</v>
      </c>
      <c r="AC11" s="37" t="n">
        <v>4.349794052748655</v>
      </c>
      <c r="AD11" s="19" t="n">
        <v>0.5443325440035269</v>
      </c>
      <c r="AE11" s="19" t="n">
        <v>0.2972565189491125</v>
      </c>
      <c r="AF11" s="19" t="n">
        <v>0.1047981202787006</v>
      </c>
      <c r="AG11" s="37" t="n">
        <v>24.75</v>
      </c>
      <c r="AH11" s="37" t="n">
        <v>3.208825489014699</v>
      </c>
      <c r="AI11" s="37" t="n">
        <v>875</v>
      </c>
      <c r="AJ11" s="19" t="n">
        <v>0.8735597035761289</v>
      </c>
    </row>
    <row r="12">
      <c r="A12" s="37" t="n">
        <v>18956</v>
      </c>
      <c r="B12" s="16" t="inlineStr">
        <is>
          <t>韩浩、王森</t>
        </is>
      </c>
      <c r="C12" s="16" t="inlineStr">
        <is>
          <t>中航机遇领航混合发起A</t>
        </is>
      </c>
      <c r="D12" s="16" t="inlineStr">
        <is>
          <t>全能型：综合能力最高</t>
        </is>
      </c>
      <c r="E12" s="37" t="n">
        <v>18956</v>
      </c>
      <c r="F12" s="38" t="n">
        <v>46113</v>
      </c>
      <c r="G12" s="37" t="n">
        <v>2026</v>
      </c>
      <c r="H12" s="37" t="n">
        <v>1</v>
      </c>
      <c r="I12" s="19" t="n">
        <v>-0.0049610598375878</v>
      </c>
      <c r="J12" s="19" t="n">
        <v>-0.0074610598375878</v>
      </c>
      <c r="K12" s="19" t="n">
        <v>0.0541269883987781</v>
      </c>
      <c r="L12" s="19" t="n">
        <v>0.1009961462767979</v>
      </c>
      <c r="M12" s="37" t="n"/>
      <c r="N12" s="37" t="n"/>
      <c r="O12" s="37" t="n"/>
      <c r="P12" s="37" t="n"/>
      <c r="Q12" s="37" t="n"/>
      <c r="R12" s="37" t="n"/>
      <c r="S12" s="19" t="n">
        <v>0.328124</v>
      </c>
      <c r="T12" s="19" t="n">
        <v>0.08426500000000001</v>
      </c>
      <c r="U12" s="37" t="n">
        <v>0</v>
      </c>
      <c r="V12" s="37" t="n">
        <v>0</v>
      </c>
      <c r="W12" s="37" t="n"/>
      <c r="X12" s="37" t="n"/>
      <c r="Y12" s="19" t="n">
        <v>0.262357248321989</v>
      </c>
      <c r="Z12" s="19" t="n">
        <v>0.8922916973060008</v>
      </c>
      <c r="AA12" s="37" t="n"/>
      <c r="AB12" s="19" t="n">
        <v>0.5255642971016353</v>
      </c>
      <c r="AC12" s="37" t="n"/>
      <c r="AD12" s="19" t="n">
        <v>0.7004896555943825</v>
      </c>
      <c r="AE12" s="19" t="n">
        <v>0.3070221716819357</v>
      </c>
      <c r="AF12" s="19" t="n">
        <v>0.2105257252010389</v>
      </c>
      <c r="AG12" s="37" t="n">
        <v>26.99</v>
      </c>
      <c r="AH12" s="37" t="n">
        <v>3.295466427029913</v>
      </c>
      <c r="AI12" s="37" t="n">
        <v>965</v>
      </c>
      <c r="AJ12" s="19" t="n">
        <v>0.9714639185575006</v>
      </c>
    </row>
    <row r="13">
      <c r="A13" s="37" t="n">
        <v>18956</v>
      </c>
      <c r="B13" s="16" t="inlineStr">
        <is>
          <t>韩浩、王森</t>
        </is>
      </c>
      <c r="C13" s="16" t="inlineStr">
        <is>
          <t>中航机遇领航混合发起A</t>
        </is>
      </c>
      <c r="D13" s="16" t="inlineStr">
        <is>
          <t>全能型：综合能力最高</t>
        </is>
      </c>
      <c r="E13" s="37" t="n">
        <v>18956</v>
      </c>
      <c r="F13" s="38" t="n">
        <v>46204</v>
      </c>
      <c r="G13" s="37" t="n">
        <v>2026</v>
      </c>
      <c r="H13" s="37" t="n">
        <v>2</v>
      </c>
      <c r="I13" s="19" t="n">
        <v>0.6877332739123168</v>
      </c>
      <c r="J13" s="37" t="n"/>
      <c r="K13" s="19" t="n">
        <v>0.0541269883987781</v>
      </c>
      <c r="L13" s="19" t="n">
        <v>0.6866068767324246</v>
      </c>
      <c r="M13" s="37" t="n"/>
      <c r="N13" s="37" t="n"/>
      <c r="O13" s="19" t="n">
        <v>0.7941176470588235</v>
      </c>
      <c r="P13" s="37" t="n">
        <v>1</v>
      </c>
      <c r="Q13" s="37" t="n"/>
      <c r="R13" s="37" t="n"/>
      <c r="S13" s="19" t="n">
        <v>0.531481</v>
      </c>
      <c r="T13" s="19" t="n">
        <v>0.102324</v>
      </c>
      <c r="U13" s="37" t="n">
        <v>0</v>
      </c>
      <c r="V13" s="37" t="n">
        <v>0</v>
      </c>
      <c r="W13" s="19" t="n">
        <v>-0.2058823529411765</v>
      </c>
      <c r="X13" s="37" t="n"/>
      <c r="Y13" s="19" t="n">
        <v>0.2651595370464427</v>
      </c>
      <c r="Z13" s="19" t="n">
        <v>0.990180471740315</v>
      </c>
      <c r="AA13" s="37" t="n"/>
      <c r="AB13" s="19" t="n">
        <v>0.4322044473992875</v>
      </c>
      <c r="AC13" s="37" t="n">
        <v>5.269602225206029</v>
      </c>
      <c r="AD13" s="19" t="n">
        <v>0.6026793129692513</v>
      </c>
      <c r="AE13" s="19" t="n">
        <v>0.3387130192717219</v>
      </c>
      <c r="AF13" s="19" t="n">
        <v>0.1346187691622728</v>
      </c>
      <c r="AG13" s="37" t="n">
        <v>58.28</v>
      </c>
      <c r="AH13" s="37" t="n">
        <v>4.065258981327004</v>
      </c>
      <c r="AI13" s="37" t="n">
        <v>72</v>
      </c>
      <c r="AJ13" s="37" t="n">
        <v>1.061579281484721</v>
      </c>
    </row>
    <row r="14">
      <c r="A14" s="37" t="n">
        <v>19018</v>
      </c>
      <c r="B14" s="16" t="inlineStr">
        <is>
          <t>郑希</t>
        </is>
      </c>
      <c r="C14" s="16" t="inlineStr">
        <is>
          <t>易方达信息产业混合C</t>
        </is>
      </c>
      <c r="D14" s="16" t="inlineStr">
        <is>
          <t>风险定价型：风险转化效率最高</t>
        </is>
      </c>
      <c r="E14" s="37" t="n">
        <v>19018</v>
      </c>
      <c r="F14" s="38" t="n">
        <v>45292</v>
      </c>
      <c r="G14" s="37" t="n">
        <v>2023</v>
      </c>
      <c r="H14" s="37" t="n">
        <v>4</v>
      </c>
      <c r="I14" s="19" t="n">
        <v>0.0009416195856872</v>
      </c>
      <c r="J14" s="19" t="n">
        <v>-0.0015583804143127</v>
      </c>
      <c r="K14" s="19" t="n">
        <v>0.0331326593873025</v>
      </c>
      <c r="L14" s="37" t="n"/>
      <c r="M14" s="37" t="n"/>
      <c r="N14" s="37" t="n"/>
      <c r="O14" s="37" t="n"/>
      <c r="P14" s="37" t="n"/>
      <c r="Q14" s="37" t="n">
        <v>297.423811206063</v>
      </c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19" t="n">
        <v>0.01</v>
      </c>
      <c r="AH14" s="37" t="n">
        <v>0</v>
      </c>
      <c r="AI14" s="37" t="n">
        <v>75</v>
      </c>
      <c r="AJ14" s="37" t="n">
        <v>-1.583176069245175</v>
      </c>
    </row>
    <row r="15">
      <c r="A15" s="37" t="n">
        <v>19018</v>
      </c>
      <c r="B15" s="16" t="inlineStr">
        <is>
          <t>郑希</t>
        </is>
      </c>
      <c r="C15" s="16" t="inlineStr">
        <is>
          <t>易方达信息产业混合C</t>
        </is>
      </c>
      <c r="D15" s="16" t="inlineStr">
        <is>
          <t>风险定价型：风险转化效率最高</t>
        </is>
      </c>
      <c r="E15" s="37" t="n">
        <v>19018</v>
      </c>
      <c r="F15" s="38" t="n">
        <v>45383</v>
      </c>
      <c r="G15" s="37" t="n">
        <v>2024</v>
      </c>
      <c r="H15" s="37" t="n">
        <v>1</v>
      </c>
      <c r="I15" s="19" t="n">
        <v>-0.0079962370649101</v>
      </c>
      <c r="J15" s="19" t="n">
        <v>-0.0104962370649101</v>
      </c>
      <c r="K15" s="19" t="n">
        <v>0.0331326593873025</v>
      </c>
      <c r="L15" s="37" t="n"/>
      <c r="M15" s="37" t="n"/>
      <c r="N15" s="37" t="n"/>
      <c r="O15" s="37" t="n"/>
      <c r="P15" s="37" t="n"/>
      <c r="Q15" s="37" t="n">
        <v>297.423811206063</v>
      </c>
      <c r="R15" s="37" t="n"/>
      <c r="S15" s="19" t="n">
        <v>0.471441</v>
      </c>
      <c r="T15" s="19" t="n">
        <v>0.107878</v>
      </c>
      <c r="U15" s="37" t="n"/>
      <c r="V15" s="37" t="n"/>
      <c r="W15" s="37" t="n"/>
      <c r="X15" s="37" t="n">
        <v>0</v>
      </c>
      <c r="Y15" s="37" t="n"/>
      <c r="Z15" s="19" t="n">
        <v>0.8956100664052076</v>
      </c>
      <c r="AA15" s="37" t="n"/>
      <c r="AB15" s="37" t="n"/>
      <c r="AC15" s="37" t="n"/>
      <c r="AD15" s="37" t="n"/>
      <c r="AE15" s="37" t="n"/>
      <c r="AF15" s="37" t="n"/>
      <c r="AG15" s="19" t="n">
        <v>0.3</v>
      </c>
      <c r="AH15" s="37" t="n">
        <v>0</v>
      </c>
      <c r="AI15" s="37" t="n">
        <v>166</v>
      </c>
      <c r="AJ15" s="19" t="n">
        <v>-0.7886763944249421</v>
      </c>
    </row>
    <row r="16">
      <c r="A16" s="37" t="n">
        <v>19018</v>
      </c>
      <c r="B16" s="16" t="inlineStr">
        <is>
          <t>郑希</t>
        </is>
      </c>
      <c r="C16" s="16" t="inlineStr">
        <is>
          <t>易方达信息产业混合C</t>
        </is>
      </c>
      <c r="D16" s="16" t="inlineStr">
        <is>
          <t>风险定价型：风险转化效率最高</t>
        </is>
      </c>
      <c r="E16" s="37" t="n">
        <v>19018</v>
      </c>
      <c r="F16" s="38" t="n">
        <v>45474</v>
      </c>
      <c r="G16" s="37" t="n">
        <v>2024</v>
      </c>
      <c r="H16" s="37" t="n">
        <v>2</v>
      </c>
      <c r="I16" s="19" t="n">
        <v>0.087719298245614</v>
      </c>
      <c r="J16" s="19" t="n">
        <v>0.085219298245614</v>
      </c>
      <c r="K16" s="19" t="n">
        <v>0.0331326593873025</v>
      </c>
      <c r="L16" s="19" t="n">
        <v>0.2593853201145815</v>
      </c>
      <c r="M16" s="37" t="n"/>
      <c r="N16" s="37" t="n"/>
      <c r="O16" s="37" t="n"/>
      <c r="P16" s="37" t="n"/>
      <c r="Q16" s="37" t="n">
        <v>309.424939136684</v>
      </c>
      <c r="R16" s="37" t="n"/>
      <c r="S16" s="19" t="n">
        <v>0.432668</v>
      </c>
      <c r="T16" s="19" t="n">
        <v>0.045922</v>
      </c>
      <c r="U16" s="19" t="n">
        <v>0.1488187237800839</v>
      </c>
      <c r="V16" s="37" t="n"/>
      <c r="W16" s="37" t="n"/>
      <c r="X16" s="37" t="n">
        <v>0</v>
      </c>
      <c r="Y16" s="37" t="n"/>
      <c r="Z16" s="19" t="n">
        <v>0.8638874349968195</v>
      </c>
      <c r="AA16" s="37" t="n"/>
      <c r="AB16" s="37" t="n"/>
      <c r="AC16" s="37" t="n"/>
      <c r="AD16" s="37" t="n"/>
      <c r="AE16" s="19" t="n">
        <v>0.0528704619721515</v>
      </c>
      <c r="AF16" s="19" t="n">
        <v>0.1915124560266101</v>
      </c>
      <c r="AG16" s="19" t="n">
        <v>0.74</v>
      </c>
      <c r="AH16" s="37" t="n">
        <v>0</v>
      </c>
      <c r="AI16" s="37" t="n">
        <v>257</v>
      </c>
      <c r="AJ16" s="19" t="n">
        <v>-0.3515880978862656</v>
      </c>
    </row>
    <row r="17">
      <c r="A17" s="37" t="n">
        <v>19018</v>
      </c>
      <c r="B17" s="16" t="inlineStr">
        <is>
          <t>郑希</t>
        </is>
      </c>
      <c r="C17" s="16" t="inlineStr">
        <is>
          <t>易方达信息产业混合C</t>
        </is>
      </c>
      <c r="D17" s="16" t="inlineStr">
        <is>
          <t>风险定价型：风险转化效率最高</t>
        </is>
      </c>
      <c r="E17" s="37" t="n">
        <v>19018</v>
      </c>
      <c r="F17" s="38" t="n">
        <v>45566</v>
      </c>
      <c r="G17" s="37" t="n">
        <v>2024</v>
      </c>
      <c r="H17" s="37" t="n">
        <v>3</v>
      </c>
      <c r="I17" s="19" t="n">
        <v>0.08413251961639021</v>
      </c>
      <c r="J17" s="19" t="n">
        <v>0.0816325196163902</v>
      </c>
      <c r="K17" s="19" t="n">
        <v>0.0331326593873025</v>
      </c>
      <c r="L17" s="19" t="n">
        <v>0.2820949002036158</v>
      </c>
      <c r="M17" s="37" t="n"/>
      <c r="N17" s="37" t="n"/>
      <c r="O17" s="37" t="n"/>
      <c r="P17" s="37" t="n"/>
      <c r="Q17" s="37" t="n">
        <v>309.424939136684</v>
      </c>
      <c r="R17" s="37" t="n"/>
      <c r="S17" s="19" t="n">
        <v>0.29343</v>
      </c>
      <c r="T17" s="19" t="n">
        <v>0.131178</v>
      </c>
      <c r="U17" s="19" t="n">
        <v>0.1417531463899317</v>
      </c>
      <c r="V17" s="37" t="n"/>
      <c r="W17" s="37" t="n"/>
      <c r="X17" s="37" t="n">
        <v>0</v>
      </c>
      <c r="Y17" s="37" t="n"/>
      <c r="Z17" s="19" t="n">
        <v>0.938225060802126</v>
      </c>
      <c r="AA17" s="37" t="n"/>
      <c r="AB17" s="37" t="n"/>
      <c r="AC17" s="37" t="n"/>
      <c r="AD17" s="37" t="n"/>
      <c r="AE17" s="19" t="n">
        <v>0.0517952806178549</v>
      </c>
      <c r="AF17" s="19" t="n">
        <v>0.0869422388838535</v>
      </c>
      <c r="AG17" s="37" t="n">
        <v>2.6</v>
      </c>
      <c r="AH17" s="19" t="n">
        <v>0.9555114450274363</v>
      </c>
      <c r="AI17" s="37" t="n">
        <v>349</v>
      </c>
      <c r="AJ17" s="19" t="n">
        <v>-0.0455922605790583</v>
      </c>
    </row>
    <row r="18">
      <c r="A18" s="37" t="n">
        <v>19018</v>
      </c>
      <c r="B18" s="16" t="inlineStr">
        <is>
          <t>郑希</t>
        </is>
      </c>
      <c r="C18" s="16" t="inlineStr">
        <is>
          <t>易方达信息产业混合C</t>
        </is>
      </c>
      <c r="D18" s="16" t="inlineStr">
        <is>
          <t>风险定价型：风险转化效率最高</t>
        </is>
      </c>
      <c r="E18" s="37" t="n">
        <v>19018</v>
      </c>
      <c r="F18" s="38" t="n">
        <v>45658</v>
      </c>
      <c r="G18" s="37" t="n">
        <v>2024</v>
      </c>
      <c r="H18" s="37" t="n">
        <v>4</v>
      </c>
      <c r="I18" s="19" t="n">
        <v>0.0623240852432647</v>
      </c>
      <c r="J18" s="19" t="n">
        <v>0.0598240852432647</v>
      </c>
      <c r="K18" s="19" t="n">
        <v>0.0331326593873025</v>
      </c>
      <c r="L18" s="19" t="n">
        <v>0.09484513581014049</v>
      </c>
      <c r="M18" s="37" t="n"/>
      <c r="N18" s="37" t="n"/>
      <c r="O18" s="19" t="n">
        <v>0.6197183098591549</v>
      </c>
      <c r="P18" s="19" t="n">
        <v>0.8275862068965517</v>
      </c>
      <c r="Q18" s="37" t="n">
        <v>478.58836354453</v>
      </c>
      <c r="R18" s="37" t="n"/>
      <c r="S18" s="19" t="n">
        <v>0.366345</v>
      </c>
      <c r="T18" s="19" t="n">
        <v>0.027546</v>
      </c>
      <c r="U18" s="19" t="n">
        <v>0.0796651476635855</v>
      </c>
      <c r="V18" s="37" t="n"/>
      <c r="W18" s="19" t="n">
        <v>-0.2078678970373968</v>
      </c>
      <c r="X18" s="37" t="n">
        <v>169.163424407846</v>
      </c>
      <c r="Y18" s="37" t="n"/>
      <c r="Z18" s="19" t="n">
        <v>0.907921369868014</v>
      </c>
      <c r="AA18" s="37" t="n"/>
      <c r="AB18" s="19" t="n">
        <v>0.1403572252923659</v>
      </c>
      <c r="AC18" s="37" t="n"/>
      <c r="AD18" s="19" t="n">
        <v>0.7471588074059951</v>
      </c>
      <c r="AE18" s="19" t="n">
        <v>0.0458400984970358</v>
      </c>
      <c r="AF18" s="19" t="n">
        <v>0.08423310936620031</v>
      </c>
      <c r="AG18" s="37" t="n">
        <v>14.67</v>
      </c>
      <c r="AH18" s="37" t="n">
        <v>2.685804592154891</v>
      </c>
      <c r="AI18" s="37" t="n">
        <v>441</v>
      </c>
      <c r="AJ18" s="19" t="n">
        <v>0.1883806926653606</v>
      </c>
    </row>
    <row r="19">
      <c r="A19" s="37" t="n">
        <v>19018</v>
      </c>
      <c r="B19" s="16" t="inlineStr">
        <is>
          <t>郑希</t>
        </is>
      </c>
      <c r="C19" s="16" t="inlineStr">
        <is>
          <t>易方达信息产业混合C</t>
        </is>
      </c>
      <c r="D19" s="16" t="inlineStr">
        <is>
          <t>风险定价型：风险转化效率最高</t>
        </is>
      </c>
      <c r="E19" s="37" t="n">
        <v>19018</v>
      </c>
      <c r="F19" s="38" t="n">
        <v>45748</v>
      </c>
      <c r="G19" s="37" t="n">
        <v>2025</v>
      </c>
      <c r="H19" s="37" t="n">
        <v>1</v>
      </c>
      <c r="I19" s="19" t="n">
        <v>-0.0249810749432251</v>
      </c>
      <c r="J19" s="19" t="n">
        <v>-0.0274810749432251</v>
      </c>
      <c r="K19" s="19" t="n">
        <v>0.0331326593873025</v>
      </c>
      <c r="L19" s="19" t="n">
        <v>0.07555893648503979</v>
      </c>
      <c r="M19" s="37" t="n"/>
      <c r="N19" s="37" t="n"/>
      <c r="O19" s="37" t="n"/>
      <c r="P19" s="37" t="n"/>
      <c r="Q19" s="37" t="n">
        <v>478.58836354453</v>
      </c>
      <c r="R19" s="37" t="n"/>
      <c r="S19" s="19" t="n">
        <v>0.709888</v>
      </c>
      <c r="T19" s="19" t="n">
        <v>0.103291</v>
      </c>
      <c r="U19" s="19" t="n">
        <v>0.0541524459613196</v>
      </c>
      <c r="V19" s="37" t="n"/>
      <c r="W19" s="37" t="n"/>
      <c r="X19" s="37" t="n">
        <v>0</v>
      </c>
      <c r="Y19" s="19" t="n">
        <v>0.0262857064469097</v>
      </c>
      <c r="Z19" s="19" t="n">
        <v>0.8859616494045152</v>
      </c>
      <c r="AA19" s="37" t="n"/>
      <c r="AB19" s="19" t="n">
        <v>0.1583237426618317</v>
      </c>
      <c r="AC19" s="37" t="n"/>
      <c r="AD19" s="19" t="n">
        <v>0.9363910317074214</v>
      </c>
      <c r="AE19" s="19" t="n">
        <v>0.0500719831987121</v>
      </c>
      <c r="AF19" s="19" t="n">
        <v>0.1024825610440683</v>
      </c>
      <c r="AG19" s="37" t="n">
        <v>10.37</v>
      </c>
      <c r="AH19" s="37" t="n">
        <v>2.338917022241436</v>
      </c>
      <c r="AI19" s="37" t="n">
        <v>531</v>
      </c>
      <c r="AJ19" s="19" t="n">
        <v>0.3740978384604534</v>
      </c>
    </row>
    <row r="20">
      <c r="A20" s="37" t="n">
        <v>19018</v>
      </c>
      <c r="B20" s="16" t="inlineStr">
        <is>
          <t>郑希</t>
        </is>
      </c>
      <c r="C20" s="16" t="inlineStr">
        <is>
          <t>易方达信息产业混合C</t>
        </is>
      </c>
      <c r="D20" s="16" t="inlineStr">
        <is>
          <t>风险定价型：风险转化效率最高</t>
        </is>
      </c>
      <c r="E20" s="37" t="n">
        <v>19018</v>
      </c>
      <c r="F20" s="38" t="n">
        <v>45839</v>
      </c>
      <c r="G20" s="37" t="n">
        <v>2025</v>
      </c>
      <c r="H20" s="37" t="n">
        <v>2</v>
      </c>
      <c r="I20" s="19" t="n">
        <v>0.1032608695652173</v>
      </c>
      <c r="J20" s="19" t="n">
        <v>0.1007608695652172</v>
      </c>
      <c r="K20" s="19" t="n">
        <v>0.0331326593873025</v>
      </c>
      <c r="L20" s="19" t="n">
        <v>0.1879650918877349</v>
      </c>
      <c r="M20" s="37" t="n"/>
      <c r="N20" s="37" t="n"/>
      <c r="O20" s="19" t="n">
        <v>0.4074074074074074</v>
      </c>
      <c r="P20" s="19" t="n">
        <v>0.8043478260869565</v>
      </c>
      <c r="Q20" s="37" t="n">
        <v>329.640009337793</v>
      </c>
      <c r="R20" s="37" t="n"/>
      <c r="S20" s="19" t="n">
        <v>0.263135</v>
      </c>
      <c r="T20" s="19" t="n">
        <v>0.032962</v>
      </c>
      <c r="U20" s="19" t="n">
        <v>0.08127472997540371</v>
      </c>
      <c r="V20" s="37" t="n"/>
      <c r="W20" s="19" t="n">
        <v>-0.3969404186795491</v>
      </c>
      <c r="X20" s="37" t="n">
        <v>0</v>
      </c>
      <c r="Y20" s="19" t="n">
        <v>0.0273431899010712</v>
      </c>
      <c r="Z20" s="19" t="n">
        <v>0.9183316736114502</v>
      </c>
      <c r="AA20" s="37" t="n"/>
      <c r="AB20" s="19" t="n">
        <v>0.1108081834704966</v>
      </c>
      <c r="AC20" s="37" t="n">
        <v>2.36864775955317</v>
      </c>
      <c r="AD20" s="19" t="n">
        <v>0.6229039299287376</v>
      </c>
      <c r="AE20" s="19" t="n">
        <v>0.0527330944673763</v>
      </c>
      <c r="AF20" s="19" t="n">
        <v>0.0766750850252181</v>
      </c>
      <c r="AG20" s="37" t="n">
        <v>8.880000000000001</v>
      </c>
      <c r="AH20" s="37" t="n">
        <v>2.183801557004079</v>
      </c>
      <c r="AI20" s="37" t="n">
        <v>622</v>
      </c>
      <c r="AJ20" s="19" t="n">
        <v>0.5322759099576939</v>
      </c>
    </row>
    <row r="21">
      <c r="A21" s="37" t="n">
        <v>19018</v>
      </c>
      <c r="B21" s="16" t="inlineStr">
        <is>
          <t>郑希</t>
        </is>
      </c>
      <c r="C21" s="16" t="inlineStr">
        <is>
          <t>易方达信息产业混合C</t>
        </is>
      </c>
      <c r="D21" s="16" t="inlineStr">
        <is>
          <t>风险定价型：风险转化效率最高</t>
        </is>
      </c>
      <c r="E21" s="37" t="n">
        <v>19018</v>
      </c>
      <c r="F21" s="38" t="n">
        <v>45931</v>
      </c>
      <c r="G21" s="37" t="n">
        <v>2025</v>
      </c>
      <c r="H21" s="37" t="n">
        <v>3</v>
      </c>
      <c r="I21" s="19" t="n">
        <v>0.848698099929627</v>
      </c>
      <c r="J21" s="19" t="n">
        <v>0.846198099929627</v>
      </c>
      <c r="K21" s="19" t="n">
        <v>0.0331326593873025</v>
      </c>
      <c r="L21" s="19" t="n">
        <v>0.7395892723787586</v>
      </c>
      <c r="M21" s="37" t="n"/>
      <c r="N21" s="37" t="n"/>
      <c r="O21" s="37" t="n"/>
      <c r="P21" s="37" t="n"/>
      <c r="Q21" s="37" t="n">
        <v>329.640009337793</v>
      </c>
      <c r="R21" s="37" t="n"/>
      <c r="S21" s="19" t="n">
        <v>0.422837</v>
      </c>
      <c r="T21" s="19" t="n">
        <v>0.112785</v>
      </c>
      <c r="U21" s="19" t="n">
        <v>0.08127472997540371</v>
      </c>
      <c r="V21" s="37" t="n"/>
      <c r="W21" s="37" t="n"/>
      <c r="X21" s="37" t="n">
        <v>0</v>
      </c>
      <c r="Y21" s="19" t="n">
        <v>0.2844100031937828</v>
      </c>
      <c r="Z21" s="19" t="n">
        <v>0.9924686114993252</v>
      </c>
      <c r="AA21" s="37" t="n"/>
      <c r="AB21" s="19" t="n">
        <v>0.1475091062319662</v>
      </c>
      <c r="AC21" s="37" t="n">
        <v>3.12341630090812</v>
      </c>
      <c r="AD21" s="19" t="n">
        <v>0.7799414421841732</v>
      </c>
      <c r="AE21" s="19" t="n">
        <v>0.2887916415489487</v>
      </c>
      <c r="AF21" s="19" t="n">
        <v>0.1185280262398105</v>
      </c>
      <c r="AG21" s="37" t="n">
        <v>22.81</v>
      </c>
      <c r="AH21" s="37" t="n">
        <v>3.127199036296297</v>
      </c>
      <c r="AI21" s="37" t="n">
        <v>714</v>
      </c>
      <c r="AJ21" s="19" t="n">
        <v>0.6702187795580989</v>
      </c>
    </row>
    <row r="22">
      <c r="A22" s="37" t="n">
        <v>19018</v>
      </c>
      <c r="B22" s="16" t="inlineStr">
        <is>
          <t>郑希</t>
        </is>
      </c>
      <c r="C22" s="16" t="inlineStr">
        <is>
          <t>易方达信息产业混合C</t>
        </is>
      </c>
      <c r="D22" s="16" t="inlineStr">
        <is>
          <t>风险定价型：风险转化效率最高</t>
        </is>
      </c>
      <c r="E22" s="37" t="n">
        <v>19018</v>
      </c>
      <c r="F22" s="38" t="n">
        <v>46023</v>
      </c>
      <c r="G22" s="37" t="n">
        <v>2025</v>
      </c>
      <c r="H22" s="37" t="n">
        <v>4</v>
      </c>
      <c r="I22" s="19" t="n">
        <v>0.0407308717167862</v>
      </c>
      <c r="J22" s="19" t="n">
        <v>0.0382308717167862</v>
      </c>
      <c r="K22" s="19" t="n">
        <v>0.0331326593873025</v>
      </c>
      <c r="L22" s="19" t="n">
        <v>0.1700496958561937</v>
      </c>
      <c r="M22" s="37" t="n"/>
      <c r="N22" s="37" t="n"/>
      <c r="O22" s="19" t="n">
        <v>0.6097560975609756</v>
      </c>
      <c r="P22" s="19" t="n">
        <v>0.8888888888888888</v>
      </c>
      <c r="Q22" s="37" t="n"/>
      <c r="R22" s="37" t="n"/>
      <c r="S22" s="19" t="n">
        <v>0.273739</v>
      </c>
      <c r="T22" s="19" t="n">
        <v>0.040975</v>
      </c>
      <c r="U22" s="19" t="n">
        <v>0.1160797034291009</v>
      </c>
      <c r="V22" s="37" t="n"/>
      <c r="W22" s="19" t="n">
        <v>-0.2791327913279132</v>
      </c>
      <c r="X22" s="37" t="n"/>
      <c r="Y22" s="19" t="n">
        <v>0.280298431340573</v>
      </c>
      <c r="Z22" s="19" t="n">
        <v>0.9684695308268896</v>
      </c>
      <c r="AA22" s="37" t="n"/>
      <c r="AB22" s="19" t="n">
        <v>0.3261092680013322</v>
      </c>
      <c r="AC22" s="37" t="n">
        <v>10.76578413761576</v>
      </c>
      <c r="AD22" s="19" t="n">
        <v>0.4908812345186248</v>
      </c>
      <c r="AE22" s="19" t="n">
        <v>0.286302616866909</v>
      </c>
      <c r="AF22" s="19" t="n">
        <v>0.1015761438294695</v>
      </c>
      <c r="AG22" s="37" t="n">
        <v>31.83</v>
      </c>
      <c r="AH22" s="37" t="n">
        <v>3.460409241294001</v>
      </c>
      <c r="AI22" s="37" t="n">
        <v>806</v>
      </c>
      <c r="AJ22" s="19" t="n">
        <v>0.7914195597251429</v>
      </c>
    </row>
    <row r="23">
      <c r="A23" s="37" t="n">
        <v>19018</v>
      </c>
      <c r="B23" s="16" t="inlineStr">
        <is>
          <t>郑希</t>
        </is>
      </c>
      <c r="C23" s="16" t="inlineStr">
        <is>
          <t>易方达信息产业混合C</t>
        </is>
      </c>
      <c r="D23" s="16" t="inlineStr">
        <is>
          <t>风险定价型：风险转化效率最高</t>
        </is>
      </c>
      <c r="E23" s="37" t="n">
        <v>19018</v>
      </c>
      <c r="F23" s="38" t="n">
        <v>46113</v>
      </c>
      <c r="G23" s="37" t="n">
        <v>2026</v>
      </c>
      <c r="H23" s="37" t="n">
        <v>1</v>
      </c>
      <c r="I23" s="19" t="n">
        <v>0.0122531089978048</v>
      </c>
      <c r="J23" s="19" t="n">
        <v>0.009753108997804801</v>
      </c>
      <c r="K23" s="19" t="n">
        <v>0.0331326593873025</v>
      </c>
      <c r="L23" s="19" t="n">
        <v>0.0771947178599033</v>
      </c>
      <c r="M23" s="37" t="n"/>
      <c r="N23" s="37" t="n"/>
      <c r="O23" s="37" t="n"/>
      <c r="P23" s="37" t="n"/>
      <c r="Q23" s="37" t="n"/>
      <c r="R23" s="37" t="n"/>
      <c r="S23" s="19" t="n">
        <v>0.385217</v>
      </c>
      <c r="T23" s="19" t="n">
        <v>0.121895</v>
      </c>
      <c r="U23" s="19" t="n">
        <v>0.1160797034291009</v>
      </c>
      <c r="V23" s="37" t="n">
        <v>0</v>
      </c>
      <c r="W23" s="37" t="n"/>
      <c r="X23" s="37" t="n"/>
      <c r="Y23" s="37" t="n"/>
      <c r="Z23" s="19" t="n">
        <v>0.9766263981032068</v>
      </c>
      <c r="AA23" s="37" t="n"/>
      <c r="AB23" s="19" t="n">
        <v>0.3483728468103582</v>
      </c>
      <c r="AC23" s="37" t="n"/>
      <c r="AD23" s="19" t="n">
        <v>0.5125208272434598</v>
      </c>
      <c r="AE23" s="19" t="n">
        <v>0.2847995280740159</v>
      </c>
      <c r="AF23" s="19" t="n">
        <v>0.0598734468193587</v>
      </c>
      <c r="AG23" s="37" t="n">
        <v>22.67</v>
      </c>
      <c r="AH23" s="37" t="n">
        <v>3.121042464519438</v>
      </c>
      <c r="AI23" s="37" t="n">
        <v>896</v>
      </c>
      <c r="AJ23" s="19" t="n">
        <v>0.897276230193445</v>
      </c>
    </row>
    <row r="24">
      <c r="A24" s="37" t="n">
        <v>19018</v>
      </c>
      <c r="B24" s="16" t="inlineStr">
        <is>
          <t>郑希</t>
        </is>
      </c>
      <c r="C24" s="16" t="inlineStr">
        <is>
          <t>易方达信息产业混合C</t>
        </is>
      </c>
      <c r="D24" s="16" t="inlineStr">
        <is>
          <t>风险定价型：风险转化效率最高</t>
        </is>
      </c>
      <c r="E24" s="37" t="n">
        <v>19018</v>
      </c>
      <c r="F24" s="38" t="n">
        <v>46204</v>
      </c>
      <c r="G24" s="37" t="n">
        <v>2026</v>
      </c>
      <c r="H24" s="37" t="n">
        <v>2</v>
      </c>
      <c r="I24" s="19" t="n">
        <v>0.9579042457091222</v>
      </c>
      <c r="J24" s="37" t="n"/>
      <c r="K24" s="19" t="n">
        <v>0.0331326593873025</v>
      </c>
      <c r="L24" s="19" t="n">
        <v>0.881627278779461</v>
      </c>
      <c r="M24" s="37" t="n"/>
      <c r="N24" s="37" t="n"/>
      <c r="O24" s="19" t="n">
        <v>0.8904109589041096</v>
      </c>
      <c r="P24" s="37" t="n">
        <v>1</v>
      </c>
      <c r="Q24" s="37" t="n"/>
      <c r="R24" s="37" t="n"/>
      <c r="S24" s="19" t="n">
        <v>0.461471</v>
      </c>
      <c r="T24" s="19" t="n">
        <v>0.104869</v>
      </c>
      <c r="U24" s="37" t="n">
        <v>0</v>
      </c>
      <c r="V24" s="37" t="n">
        <v>0</v>
      </c>
      <c r="W24" s="19" t="n">
        <v>-0.1095890410958904</v>
      </c>
      <c r="X24" s="37" t="n"/>
      <c r="Y24" s="37" t="n"/>
      <c r="Z24" s="37" t="n">
        <v>1</v>
      </c>
      <c r="AA24" s="37" t="n"/>
      <c r="AB24" s="19" t="n">
        <v>0.3604461654972699</v>
      </c>
      <c r="AC24" s="37" t="n"/>
      <c r="AD24" s="19" t="n">
        <v>0.5241133063171444</v>
      </c>
      <c r="AE24" s="19" t="n">
        <v>0.3997994911614561</v>
      </c>
      <c r="AF24" s="19" t="n">
        <v>0.0412799671520676</v>
      </c>
      <c r="AG24" s="37" t="n">
        <v>81.19</v>
      </c>
      <c r="AH24" s="37" t="n">
        <v>4.396792086874355</v>
      </c>
      <c r="AI24" s="37" t="n">
        <v>987</v>
      </c>
      <c r="AJ24" s="19" t="n">
        <v>0.9940058566519964</v>
      </c>
    </row>
    <row r="25">
      <c r="A25" s="37" t="n">
        <v>2163</v>
      </c>
      <c r="B25" s="16" t="inlineStr">
        <is>
          <t>严凯</t>
        </is>
      </c>
      <c r="C25" s="16" t="inlineStr">
        <is>
          <t>东方惠新灵活配置混合C</t>
        </is>
      </c>
      <c r="D25" s="16" t="inlineStr">
        <is>
          <t>认知纪律型：认知质量最高</t>
        </is>
      </c>
      <c r="E25" s="37" t="n">
        <v>2163</v>
      </c>
      <c r="F25" s="38" t="n">
        <v>42370</v>
      </c>
      <c r="G25" s="37" t="n">
        <v>2015</v>
      </c>
      <c r="H25" s="37" t="n">
        <v>4</v>
      </c>
      <c r="I25" s="19" t="n">
        <v>0.0050033676513043</v>
      </c>
      <c r="J25" s="19" t="n">
        <v>0.0025033676513043</v>
      </c>
      <c r="K25" s="19" t="n">
        <v>0.0333941350822328</v>
      </c>
      <c r="L25" s="37" t="n"/>
      <c r="M25" s="37" t="n"/>
      <c r="N25" s="37" t="n"/>
      <c r="O25" s="37" t="n"/>
      <c r="P25" s="37" t="n"/>
      <c r="Q25" s="37" t="n">
        <v>181.53156320312</v>
      </c>
      <c r="R25" s="37" t="n"/>
      <c r="S25" s="19" t="n">
        <v>0.182915</v>
      </c>
      <c r="T25" s="19" t="n">
        <v>0.165653</v>
      </c>
      <c r="U25" s="37" t="n"/>
      <c r="V25" s="37" t="n"/>
      <c r="W25" s="37" t="n"/>
      <c r="X25" s="37" t="n"/>
      <c r="Y25" s="37" t="n"/>
      <c r="Z25" s="19" t="n">
        <v>0.769113861408</v>
      </c>
      <c r="AA25" s="37" t="n">
        <v>-1.34657859044503</v>
      </c>
      <c r="AB25" s="37" t="n"/>
      <c r="AC25" s="37" t="n"/>
      <c r="AD25" s="37" t="n"/>
      <c r="AE25" s="37" t="n"/>
      <c r="AF25" s="37" t="n"/>
      <c r="AG25" s="37" t="n">
        <v>4.23</v>
      </c>
      <c r="AH25" s="37" t="n">
        <v>1.442201993058187</v>
      </c>
      <c r="AI25" s="37" t="n">
        <v>42</v>
      </c>
      <c r="AJ25" s="37" t="n">
        <v>-2.162994564498117</v>
      </c>
    </row>
    <row r="26">
      <c r="A26" s="37" t="n">
        <v>2163</v>
      </c>
      <c r="B26" s="16" t="inlineStr">
        <is>
          <t>严凯</t>
        </is>
      </c>
      <c r="C26" s="16" t="inlineStr">
        <is>
          <t>东方惠新灵活配置混合C</t>
        </is>
      </c>
      <c r="D26" s="16" t="inlineStr">
        <is>
          <t>认知纪律型：认知质量最高</t>
        </is>
      </c>
      <c r="E26" s="37" t="n">
        <v>2163</v>
      </c>
      <c r="F26" s="38" t="n">
        <v>42461</v>
      </c>
      <c r="G26" s="37" t="n">
        <v>2016</v>
      </c>
      <c r="H26" s="37" t="n">
        <v>1</v>
      </c>
      <c r="I26" s="19" t="n">
        <v>0.004691239827669</v>
      </c>
      <c r="J26" s="19" t="n">
        <v>0.002191239827669</v>
      </c>
      <c r="K26" s="19" t="n">
        <v>0.0333941350822328</v>
      </c>
      <c r="L26" s="19" t="n">
        <v>0.273789422988325</v>
      </c>
      <c r="M26" s="37" t="n"/>
      <c r="N26" s="37" t="n"/>
      <c r="O26" s="37" t="n"/>
      <c r="P26" s="37" t="n"/>
      <c r="Q26" s="37" t="n">
        <v>181.53156320312</v>
      </c>
      <c r="R26" s="37" t="n"/>
      <c r="S26" s="19" t="n">
        <v>0.38821</v>
      </c>
      <c r="T26" s="19" t="n">
        <v>0.283134</v>
      </c>
      <c r="U26" s="19" t="n">
        <v>0.574240318521579</v>
      </c>
      <c r="V26" s="37" t="n"/>
      <c r="W26" s="37" t="n"/>
      <c r="X26" s="37" t="n">
        <v>0</v>
      </c>
      <c r="Y26" s="37" t="n"/>
      <c r="Z26" s="19" t="n">
        <v>0.5885036324787857</v>
      </c>
      <c r="AA26" s="37" t="n">
        <v>-1.34657859044503</v>
      </c>
      <c r="AB26" s="37" t="n"/>
      <c r="AC26" s="37" t="n"/>
      <c r="AD26" s="37" t="n"/>
      <c r="AE26" s="37" t="n"/>
      <c r="AF26" s="19" t="n">
        <v>-0.0230014583388679</v>
      </c>
      <c r="AG26" s="37" t="n"/>
      <c r="AH26" s="37" t="n"/>
      <c r="AI26" s="37" t="n">
        <v>133</v>
      </c>
      <c r="AJ26" s="37" t="n">
        <v>-1.010315054559732</v>
      </c>
    </row>
    <row r="27">
      <c r="A27" s="37" t="n">
        <v>2163</v>
      </c>
      <c r="B27" s="16" t="inlineStr">
        <is>
          <t>严凯</t>
        </is>
      </c>
      <c r="C27" s="16" t="inlineStr">
        <is>
          <t>东方惠新灵活配置混合C</t>
        </is>
      </c>
      <c r="D27" s="16" t="inlineStr">
        <is>
          <t>认知纪律型：认知质量最高</t>
        </is>
      </c>
      <c r="E27" s="37" t="n">
        <v>2163</v>
      </c>
      <c r="F27" s="38" t="n">
        <v>42552</v>
      </c>
      <c r="G27" s="37" t="n">
        <v>2016</v>
      </c>
      <c r="H27" s="37" t="n">
        <v>2</v>
      </c>
      <c r="I27" s="19" t="n">
        <v>0.0057175528873634</v>
      </c>
      <c r="J27" s="19" t="n">
        <v>0.0032175528873634</v>
      </c>
      <c r="K27" s="19" t="n">
        <v>0.0333941350822328</v>
      </c>
      <c r="L27" s="19" t="n">
        <v>0.1312701547505808</v>
      </c>
      <c r="M27" s="37" t="n"/>
      <c r="N27" s="37" t="n"/>
      <c r="O27" s="37" t="n">
        <v>1</v>
      </c>
      <c r="P27" s="37" t="n">
        <v>1</v>
      </c>
      <c r="Q27" s="37" t="n">
        <v>153.401876448027</v>
      </c>
      <c r="R27" s="37" t="n"/>
      <c r="S27" s="19" t="n">
        <v>0.236728</v>
      </c>
      <c r="T27" s="19" t="n">
        <v>0.182765</v>
      </c>
      <c r="U27" s="19" t="n">
        <v>0.4329728069876146</v>
      </c>
      <c r="V27" s="37" t="n"/>
      <c r="W27" s="37" t="n">
        <v>0</v>
      </c>
      <c r="X27" s="37" t="n">
        <v>-28.12968675509299</v>
      </c>
      <c r="Y27" s="37" t="n"/>
      <c r="Z27" s="19" t="n">
        <v>0.4948920550023854</v>
      </c>
      <c r="AA27" s="37" t="n">
        <v>-1.34657859044503</v>
      </c>
      <c r="AB27" s="37" t="n"/>
      <c r="AC27" s="37" t="n"/>
      <c r="AD27" s="37" t="n"/>
      <c r="AE27" s="19" t="n">
        <v>0.000526118305167</v>
      </c>
      <c r="AF27" s="19" t="n">
        <v>0.3320743015304295</v>
      </c>
      <c r="AG27" s="37" t="n"/>
      <c r="AH27" s="37" t="n"/>
      <c r="AI27" s="37" t="n">
        <v>224</v>
      </c>
      <c r="AJ27" s="19" t="n">
        <v>-0.4890181309264456</v>
      </c>
    </row>
    <row r="28">
      <c r="A28" s="37" t="n">
        <v>2163</v>
      </c>
      <c r="B28" s="16" t="inlineStr">
        <is>
          <t>严凯</t>
        </is>
      </c>
      <c r="C28" s="16" t="inlineStr">
        <is>
          <t>东方惠新灵活配置混合C</t>
        </is>
      </c>
      <c r="D28" s="16" t="inlineStr">
        <is>
          <t>认知纪律型：认知质量最高</t>
        </is>
      </c>
      <c r="E28" s="37" t="n">
        <v>2163</v>
      </c>
      <c r="F28" s="38" t="n">
        <v>42644</v>
      </c>
      <c r="G28" s="37" t="n">
        <v>2016</v>
      </c>
      <c r="H28" s="37" t="n">
        <v>3</v>
      </c>
      <c r="I28" s="19" t="n">
        <v>0.0240667045669877</v>
      </c>
      <c r="J28" s="19" t="n">
        <v>0.0215667045669877</v>
      </c>
      <c r="K28" s="19" t="n">
        <v>0.0333941350822328</v>
      </c>
      <c r="L28" s="19" t="n">
        <v>0.08424853640443029</v>
      </c>
      <c r="M28" s="37" t="n"/>
      <c r="N28" s="37" t="n"/>
      <c r="O28" s="37" t="n"/>
      <c r="P28" s="37" t="n"/>
      <c r="Q28" s="37" t="n">
        <v>153.401876448027</v>
      </c>
      <c r="R28" s="37" t="n"/>
      <c r="S28" s="19" t="n">
        <v>0.304977</v>
      </c>
      <c r="T28" s="19" t="n">
        <v>0.187704</v>
      </c>
      <c r="U28" s="19" t="n">
        <v>0.8789171452009843</v>
      </c>
      <c r="V28" s="37" t="n"/>
      <c r="W28" s="37" t="n"/>
      <c r="X28" s="37" t="n">
        <v>0</v>
      </c>
      <c r="Y28" s="37" t="n"/>
      <c r="Z28" s="19" t="n">
        <v>0.7710260234654206</v>
      </c>
      <c r="AA28" s="37" t="n">
        <v>-1.34657859044503</v>
      </c>
      <c r="AB28" s="37" t="n"/>
      <c r="AC28" s="37" t="n"/>
      <c r="AD28" s="37" t="n"/>
      <c r="AE28" s="19" t="n">
        <v>0.0094744024368008</v>
      </c>
      <c r="AF28" s="19" t="n">
        <v>0.3156550609804188</v>
      </c>
      <c r="AG28" s="37" t="n">
        <v>2.15</v>
      </c>
      <c r="AH28" s="19" t="n">
        <v>0.7654678421395714</v>
      </c>
      <c r="AI28" s="37" t="n">
        <v>316</v>
      </c>
      <c r="AJ28" s="19" t="n">
        <v>-0.1449219691945732</v>
      </c>
    </row>
    <row r="29">
      <c r="A29" s="37" t="n">
        <v>2163</v>
      </c>
      <c r="B29" s="16" t="inlineStr">
        <is>
          <t>严凯</t>
        </is>
      </c>
      <c r="C29" s="16" t="inlineStr">
        <is>
          <t>东方惠新灵活配置混合C</t>
        </is>
      </c>
      <c r="D29" s="16" t="inlineStr">
        <is>
          <t>认知纪律型：认知质量最高</t>
        </is>
      </c>
      <c r="E29" s="37" t="n">
        <v>2163</v>
      </c>
      <c r="F29" s="38" t="n">
        <v>42736</v>
      </c>
      <c r="G29" s="37" t="n">
        <v>2016</v>
      </c>
      <c r="H29" s="37" t="n">
        <v>4</v>
      </c>
      <c r="I29" s="19" t="n">
        <v>-0.0177646188008879</v>
      </c>
      <c r="J29" s="19" t="n">
        <v>-0.0202646188008879</v>
      </c>
      <c r="K29" s="19" t="n">
        <v>0.0333941350822328</v>
      </c>
      <c r="L29" s="19" t="n">
        <v>0.2325687356718748</v>
      </c>
      <c r="M29" s="37" t="n"/>
      <c r="N29" s="37" t="n"/>
      <c r="O29" s="37" t="n">
        <v>1</v>
      </c>
      <c r="P29" s="19" t="n">
        <v>0.7777777777777778</v>
      </c>
      <c r="Q29" s="37" t="n">
        <v>158.944974396536</v>
      </c>
      <c r="R29" s="37" t="n"/>
      <c r="S29" s="19" t="n">
        <v>0.16308</v>
      </c>
      <c r="T29" s="19" t="n">
        <v>0.110025</v>
      </c>
      <c r="U29" s="19" t="n">
        <v>0.5117605421953246</v>
      </c>
      <c r="V29" s="37" t="n"/>
      <c r="W29" s="19" t="n">
        <v>0.2222222222222222</v>
      </c>
      <c r="X29" s="37" t="n">
        <v>5.543097948509001</v>
      </c>
      <c r="Y29" s="37" t="n"/>
      <c r="Z29" s="19" t="n">
        <v>0.7620784408589611</v>
      </c>
      <c r="AA29" s="37" t="n">
        <v>-1.34657859044503</v>
      </c>
      <c r="AB29" s="19" t="n">
        <v>0.028906574407813</v>
      </c>
      <c r="AC29" s="37" t="n"/>
      <c r="AD29" s="19" t="n">
        <v>0.7778555199117753</v>
      </c>
      <c r="AE29" s="19" t="n">
        <v>0.0148342347530142</v>
      </c>
      <c r="AF29" s="19" t="n">
        <v>0.1265744566620102</v>
      </c>
      <c r="AG29" s="37" t="n"/>
      <c r="AH29" s="37" t="n"/>
      <c r="AI29" s="37" t="n">
        <v>5</v>
      </c>
      <c r="AJ29" s="19" t="n">
        <v>0.1106029916226763</v>
      </c>
    </row>
    <row r="30">
      <c r="A30" s="37" t="n">
        <v>2163</v>
      </c>
      <c r="B30" s="16" t="inlineStr">
        <is>
          <t>严凯</t>
        </is>
      </c>
      <c r="C30" s="16" t="inlineStr">
        <is>
          <t>东方惠新灵活配置混合C</t>
        </is>
      </c>
      <c r="D30" s="16" t="inlineStr">
        <is>
          <t>认知纪律型：认知质量最高</t>
        </is>
      </c>
      <c r="E30" s="37" t="n">
        <v>2163</v>
      </c>
      <c r="F30" s="38" t="n">
        <v>42826</v>
      </c>
      <c r="G30" s="37" t="n">
        <v>2017</v>
      </c>
      <c r="H30" s="37" t="n">
        <v>1</v>
      </c>
      <c r="I30" s="19" t="n">
        <v>0.0170497362471746</v>
      </c>
      <c r="J30" s="19" t="n">
        <v>0.0145497362471746</v>
      </c>
      <c r="K30" s="19" t="n">
        <v>0.0333941350822328</v>
      </c>
      <c r="L30" s="19" t="n">
        <v>0.06617138543178271</v>
      </c>
      <c r="M30" s="37" t="n"/>
      <c r="N30" s="37" t="n"/>
      <c r="O30" s="37" t="n"/>
      <c r="P30" s="37" t="n"/>
      <c r="Q30" s="37" t="n">
        <v>158.944974396536</v>
      </c>
      <c r="R30" s="37" t="n"/>
      <c r="S30" s="19" t="n">
        <v>0.178192</v>
      </c>
      <c r="T30" s="19" t="n">
        <v>0.113492</v>
      </c>
      <c r="U30" s="19" t="n">
        <v>0.4427290399737725</v>
      </c>
      <c r="V30" s="37" t="n"/>
      <c r="W30" s="37" t="n"/>
      <c r="X30" s="37" t="n">
        <v>0</v>
      </c>
      <c r="Y30" s="37" t="n"/>
      <c r="Z30" s="19" t="n">
        <v>0.8613335369682249</v>
      </c>
      <c r="AA30" s="37" t="n">
        <v>-1.34657859044503</v>
      </c>
      <c r="AB30" s="19" t="n">
        <v>0.0062936804171359</v>
      </c>
      <c r="AC30" s="37" t="n"/>
      <c r="AD30" s="19" t="n">
        <v>0.1242294770960693</v>
      </c>
      <c r="AE30" s="19" t="n">
        <v>0.0142462081338198</v>
      </c>
      <c r="AF30" s="19" t="n">
        <v>0.2826636343621108</v>
      </c>
      <c r="AG30" s="37" t="n"/>
      <c r="AH30" s="37" t="n"/>
      <c r="AI30" s="37" t="n">
        <v>23</v>
      </c>
      <c r="AJ30" s="19" t="n">
        <v>0.3099358942431675</v>
      </c>
    </row>
    <row r="31">
      <c r="A31" s="37" t="n">
        <v>2163</v>
      </c>
      <c r="B31" s="16" t="inlineStr">
        <is>
          <t>严凯</t>
        </is>
      </c>
      <c r="C31" s="16" t="inlineStr">
        <is>
          <t>东方惠新灵活配置混合C</t>
        </is>
      </c>
      <c r="D31" s="16" t="inlineStr">
        <is>
          <t>认知纪律型：认知质量最高</t>
        </is>
      </c>
      <c r="E31" s="37" t="n">
        <v>2163</v>
      </c>
      <c r="F31" s="38" t="n">
        <v>42917</v>
      </c>
      <c r="G31" s="37" t="n">
        <v>2017</v>
      </c>
      <c r="H31" s="37" t="n">
        <v>2</v>
      </c>
      <c r="I31" s="19" t="n">
        <v>0.0254700379735115</v>
      </c>
      <c r="J31" s="19" t="n">
        <v>0.0229700379735115</v>
      </c>
      <c r="K31" s="19" t="n">
        <v>0.0333941350822328</v>
      </c>
      <c r="L31" s="19" t="n">
        <v>0.0915253001924672</v>
      </c>
      <c r="M31" s="37" t="n"/>
      <c r="N31" s="37" t="n"/>
      <c r="O31" s="19" t="n">
        <v>0.6666666666666666</v>
      </c>
      <c r="P31" s="19" t="n">
        <v>0.9</v>
      </c>
      <c r="Q31" s="37" t="n">
        <v>281.53571773051</v>
      </c>
      <c r="R31" s="37" t="n"/>
      <c r="S31" s="19" t="n">
        <v>0.102229</v>
      </c>
      <c r="T31" s="19" t="n">
        <v>0.058864</v>
      </c>
      <c r="U31" s="19" t="n">
        <v>0.4893949737779699</v>
      </c>
      <c r="V31" s="37" t="n"/>
      <c r="W31" s="19" t="n">
        <v>-0.2333333333333334</v>
      </c>
      <c r="X31" s="37" t="n">
        <v>122.590743333974</v>
      </c>
      <c r="Y31" s="37" t="n"/>
      <c r="Z31" s="19" t="n">
        <v>0.9556239202475946</v>
      </c>
      <c r="AA31" s="37" t="n">
        <v>-1.34657859044503</v>
      </c>
      <c r="AB31" s="19" t="n">
        <v>0.0147598177303326</v>
      </c>
      <c r="AC31" s="37" t="n"/>
      <c r="AD31" s="19" t="n">
        <v>0.2780152931033456</v>
      </c>
      <c r="AE31" s="19" t="n">
        <v>0.0148576927898023</v>
      </c>
      <c r="AF31" s="19" t="n">
        <v>0.0220077251469151</v>
      </c>
      <c r="AG31" s="37" t="n"/>
      <c r="AH31" s="37" t="n"/>
      <c r="AI31" s="37" t="n">
        <v>114</v>
      </c>
      <c r="AJ31" s="19" t="n">
        <v>0.4777620008701012</v>
      </c>
    </row>
    <row r="32">
      <c r="A32" s="37" t="n">
        <v>2163</v>
      </c>
      <c r="B32" s="16" t="inlineStr">
        <is>
          <t>严凯</t>
        </is>
      </c>
      <c r="C32" s="16" t="inlineStr">
        <is>
          <t>东方惠新灵活配置混合C</t>
        </is>
      </c>
      <c r="D32" s="16" t="inlineStr">
        <is>
          <t>认知纪律型：认知质量最高</t>
        </is>
      </c>
      <c r="E32" s="37" t="n">
        <v>2163</v>
      </c>
      <c r="F32" s="38" t="n">
        <v>43009</v>
      </c>
      <c r="G32" s="37" t="n">
        <v>2017</v>
      </c>
      <c r="H32" s="37" t="n">
        <v>3</v>
      </c>
      <c r="I32" s="19" t="n">
        <v>0.0148121387283228</v>
      </c>
      <c r="J32" s="19" t="n">
        <v>0.0123121387283228</v>
      </c>
      <c r="K32" s="19" t="n">
        <v>0.0333941350822328</v>
      </c>
      <c r="L32" s="19" t="n">
        <v>0.0912666624523637</v>
      </c>
      <c r="M32" s="37" t="n"/>
      <c r="N32" s="37" t="n"/>
      <c r="O32" s="37" t="n"/>
      <c r="P32" s="37" t="n"/>
      <c r="Q32" s="37" t="n">
        <v>281.53571773051</v>
      </c>
      <c r="R32" s="37" t="n"/>
      <c r="S32" s="19" t="n">
        <v>0.239978</v>
      </c>
      <c r="T32" s="19" t="n">
        <v>0.110263</v>
      </c>
      <c r="U32" s="19" t="n">
        <v>0.5907847779230415</v>
      </c>
      <c r="V32" s="37" t="n"/>
      <c r="W32" s="37" t="n"/>
      <c r="X32" s="37" t="n">
        <v>0</v>
      </c>
      <c r="Y32" s="37" t="n"/>
      <c r="Z32" s="19" t="n">
        <v>0.9716880964225806</v>
      </c>
      <c r="AA32" s="37" t="n">
        <v>-1.34657859044503</v>
      </c>
      <c r="AB32" s="19" t="n">
        <v>0.0254219636020177</v>
      </c>
      <c r="AC32" s="37" t="n"/>
      <c r="AD32" s="19" t="n">
        <v>0.4493489478027822</v>
      </c>
      <c r="AE32" s="19" t="n">
        <v>0.0138991195293413</v>
      </c>
      <c r="AF32" s="19" t="n">
        <v>0.2719917971884741</v>
      </c>
      <c r="AG32" s="37" t="n"/>
      <c r="AH32" s="37" t="n"/>
      <c r="AI32" s="37" t="n">
        <v>278</v>
      </c>
      <c r="AJ32" s="19" t="n">
        <v>0.6228981233680271</v>
      </c>
    </row>
    <row r="33">
      <c r="A33" s="37" t="n">
        <v>2163</v>
      </c>
      <c r="B33" s="16" t="inlineStr">
        <is>
          <t>严凯</t>
        </is>
      </c>
      <c r="C33" s="16" t="inlineStr">
        <is>
          <t>东方惠新灵活配置混合C</t>
        </is>
      </c>
      <c r="D33" s="16" t="inlineStr">
        <is>
          <t>认知纪律型：认知质量最高</t>
        </is>
      </c>
      <c r="E33" s="37" t="n">
        <v>2163</v>
      </c>
      <c r="F33" s="38" t="n">
        <v>43101</v>
      </c>
      <c r="G33" s="37" t="n">
        <v>2017</v>
      </c>
      <c r="H33" s="37" t="n">
        <v>4</v>
      </c>
      <c r="I33" s="37" t="n">
        <v>1.006140975436098</v>
      </c>
      <c r="J33" s="37" t="n">
        <v>1.003640975436098</v>
      </c>
      <c r="K33" s="19" t="n">
        <v>0.0333941350822328</v>
      </c>
      <c r="L33" s="19" t="n">
        <v>0.12282875719037</v>
      </c>
      <c r="M33" s="37" t="n"/>
      <c r="N33" s="37" t="n"/>
      <c r="O33" s="19" t="n">
        <v>0.8333333333333334</v>
      </c>
      <c r="P33" s="19" t="n">
        <v>0.8571428571428571</v>
      </c>
      <c r="Q33" s="37" t="n">
        <v>193.352020422816</v>
      </c>
      <c r="R33" s="37" t="n"/>
      <c r="S33" s="19" t="n">
        <v>0.100947</v>
      </c>
      <c r="T33" s="19" t="n">
        <v>0.056479</v>
      </c>
      <c r="U33" s="19" t="n">
        <v>0.2201057227705672</v>
      </c>
      <c r="V33" s="37" t="n"/>
      <c r="W33" s="19" t="n">
        <v>-0.0238095238095237</v>
      </c>
      <c r="X33" s="37" t="n">
        <v>-88.18369730769399</v>
      </c>
      <c r="Y33" s="37" t="n"/>
      <c r="Z33" s="19" t="n">
        <v>0.9323450782640084</v>
      </c>
      <c r="AA33" s="37" t="n">
        <v>-1.34657859044503</v>
      </c>
      <c r="AB33" s="19" t="n">
        <v>0.0283325988207159</v>
      </c>
      <c r="AC33" s="37" t="n"/>
      <c r="AD33" s="19" t="n">
        <v>0.5310242760053773</v>
      </c>
      <c r="AE33" s="19" t="n">
        <v>0.3522536308365059</v>
      </c>
      <c r="AF33" s="19" t="n">
        <v>0.06924913303298171</v>
      </c>
      <c r="AG33" s="19" t="n">
        <v>0.01</v>
      </c>
      <c r="AH33" s="37" t="n">
        <v>0</v>
      </c>
      <c r="AI33" s="37" t="n">
        <v>370</v>
      </c>
      <c r="AJ33" s="19" t="n">
        <v>0.7496148658059366</v>
      </c>
    </row>
    <row r="34">
      <c r="A34" s="37" t="n">
        <v>2163</v>
      </c>
      <c r="B34" s="16" t="inlineStr">
        <is>
          <t>严凯</t>
        </is>
      </c>
      <c r="C34" s="16" t="inlineStr">
        <is>
          <t>东方惠新灵活配置混合C</t>
        </is>
      </c>
      <c r="D34" s="16" t="inlineStr">
        <is>
          <t>认知纪律型：认知质量最高</t>
        </is>
      </c>
      <c r="E34" s="37" t="n">
        <v>2163</v>
      </c>
      <c r="F34" s="38" t="n">
        <v>43191</v>
      </c>
      <c r="G34" s="37" t="n">
        <v>2018</v>
      </c>
      <c r="H34" s="37" t="n">
        <v>1</v>
      </c>
      <c r="I34" s="19" t="n">
        <v>-0.0268399804800144</v>
      </c>
      <c r="J34" s="19" t="n">
        <v>-0.0293399804800144</v>
      </c>
      <c r="K34" s="19" t="n">
        <v>0.0333941350822328</v>
      </c>
      <c r="L34" s="19" t="n">
        <v>0.0621620081955142</v>
      </c>
      <c r="M34" s="37" t="n"/>
      <c r="N34" s="37" t="n"/>
      <c r="O34" s="37" t="n"/>
      <c r="P34" s="37" t="n"/>
      <c r="Q34" s="37" t="n">
        <v>193.352020422816</v>
      </c>
      <c r="R34" s="37" t="n"/>
      <c r="S34" s="19" t="n">
        <v>0.10199</v>
      </c>
      <c r="T34" s="19" t="n">
        <v>0.08687</v>
      </c>
      <c r="U34" s="37" t="n">
        <v>1.118513987704073</v>
      </c>
      <c r="V34" s="37" t="n">
        <v>0</v>
      </c>
      <c r="W34" s="37" t="n"/>
      <c r="X34" s="37" t="n">
        <v>0</v>
      </c>
      <c r="Y34" s="19" t="n">
        <v>0.3639928494283378</v>
      </c>
      <c r="Z34" s="19" t="n">
        <v>0.8867515258411747</v>
      </c>
      <c r="AA34" s="37" t="n">
        <v>-1.34657859044503</v>
      </c>
      <c r="AB34" s="19" t="n">
        <v>0.2268526141088783</v>
      </c>
      <c r="AC34" s="37" t="n"/>
      <c r="AD34" s="19" t="n">
        <v>0.3762146341645199</v>
      </c>
      <c r="AE34" s="19" t="n">
        <v>0.3540918607071286</v>
      </c>
      <c r="AF34" s="19" t="n">
        <v>-0.001148157222671</v>
      </c>
      <c r="AG34" s="19" t="n">
        <v>0.01</v>
      </c>
      <c r="AH34" s="37" t="n">
        <v>0</v>
      </c>
      <c r="AI34" s="37" t="n">
        <v>460</v>
      </c>
      <c r="AJ34" s="19" t="n">
        <v>0.8597505083019424</v>
      </c>
    </row>
    <row r="35">
      <c r="A35" s="37" t="n">
        <v>2163</v>
      </c>
      <c r="B35" s="16" t="inlineStr">
        <is>
          <t>严凯</t>
        </is>
      </c>
      <c r="C35" s="16" t="inlineStr">
        <is>
          <t>东方惠新灵活配置混合C</t>
        </is>
      </c>
      <c r="D35" s="16" t="inlineStr">
        <is>
          <t>认知纪律型：认知质量最高</t>
        </is>
      </c>
      <c r="E35" s="37" t="n">
        <v>2163</v>
      </c>
      <c r="F35" s="38" t="n">
        <v>43282</v>
      </c>
      <c r="G35" s="37" t="n">
        <v>2018</v>
      </c>
      <c r="H35" s="37" t="n">
        <v>2</v>
      </c>
      <c r="I35" s="19" t="n">
        <v>-0.0113056163384387</v>
      </c>
      <c r="J35" s="19" t="n">
        <v>-0.0138056163384387</v>
      </c>
      <c r="K35" s="19" t="n">
        <v>0.0333941350822328</v>
      </c>
      <c r="L35" s="19" t="n">
        <v>0.0933289742484657</v>
      </c>
      <c r="M35" s="37" t="n"/>
      <c r="N35" s="37" t="n"/>
      <c r="O35" s="19" t="n">
        <v>0.8461538461538461</v>
      </c>
      <c r="P35" s="19" t="n">
        <v>0.9565217391304348</v>
      </c>
      <c r="Q35" s="37" t="n"/>
      <c r="R35" s="37" t="n"/>
      <c r="S35" s="19" t="n">
        <v>0.079788</v>
      </c>
      <c r="T35" s="19" t="n">
        <v>0.077436</v>
      </c>
      <c r="U35" s="19" t="n">
        <v>0.1023632589503041</v>
      </c>
      <c r="V35" s="37" t="n">
        <v>0</v>
      </c>
      <c r="W35" s="19" t="n">
        <v>-0.1103678929765886</v>
      </c>
      <c r="X35" s="37" t="n"/>
      <c r="Y35" s="19" t="n">
        <v>0.3879654289424709</v>
      </c>
      <c r="Z35" s="19" t="n">
        <v>0.8450337139539169</v>
      </c>
      <c r="AA35" s="37" t="n">
        <v>-1.34657859044503</v>
      </c>
      <c r="AB35" s="19" t="n">
        <v>0.2085764927203283</v>
      </c>
      <c r="AC35" s="37" t="n"/>
      <c r="AD35" s="19" t="n">
        <v>0.3631305392421038</v>
      </c>
      <c r="AE35" s="19" t="n">
        <v>0.3550028312133581</v>
      </c>
      <c r="AF35" s="19" t="n">
        <v>0.08647038194948339</v>
      </c>
      <c r="AG35" s="19" t="n">
        <v>0.01</v>
      </c>
      <c r="AH35" s="37" t="n">
        <v>0</v>
      </c>
      <c r="AI35" s="37" t="n">
        <v>551</v>
      </c>
      <c r="AJ35" s="19" t="n">
        <v>0.9599994886668012</v>
      </c>
    </row>
    <row r="36">
      <c r="A36" s="37" t="n">
        <v>2163</v>
      </c>
      <c r="B36" s="16" t="inlineStr">
        <is>
          <t>严凯</t>
        </is>
      </c>
      <c r="C36" s="16" t="inlineStr">
        <is>
          <t>东方惠新灵活配置混合C</t>
        </is>
      </c>
      <c r="D36" s="16" t="inlineStr">
        <is>
          <t>认知纪律型：认知质量最高</t>
        </is>
      </c>
      <c r="E36" s="37" t="n">
        <v>2163</v>
      </c>
      <c r="F36" s="38" t="n">
        <v>43374</v>
      </c>
      <c r="G36" s="37" t="n">
        <v>2018</v>
      </c>
      <c r="H36" s="37" t="n">
        <v>3</v>
      </c>
      <c r="I36" s="19" t="n">
        <v>-0.0292788638878638</v>
      </c>
      <c r="J36" s="19" t="n">
        <v>-0.0317788638878638</v>
      </c>
      <c r="K36" s="19" t="n">
        <v>0.0333941350822328</v>
      </c>
      <c r="L36" s="19" t="n">
        <v>0.1076551823930805</v>
      </c>
      <c r="M36" s="37" t="n"/>
      <c r="N36" s="37" t="n"/>
      <c r="O36" s="37" t="n"/>
      <c r="P36" s="37" t="n"/>
      <c r="Q36" s="37" t="n"/>
      <c r="R36" s="37" t="n"/>
      <c r="S36" s="19" t="n">
        <v>0.967742</v>
      </c>
      <c r="T36" s="37" t="n">
        <v>1</v>
      </c>
      <c r="U36" s="19" t="n">
        <v>0.5670402517723669</v>
      </c>
      <c r="V36" s="37" t="n">
        <v>0</v>
      </c>
      <c r="W36" s="37" t="n"/>
      <c r="X36" s="37" t="n"/>
      <c r="Y36" s="19" t="n">
        <v>0.4202259148197881</v>
      </c>
      <c r="Z36" s="19" t="n">
        <v>0.7990697674418605</v>
      </c>
      <c r="AA36" s="37" t="n">
        <v>-1.34657859044503</v>
      </c>
      <c r="AB36" s="19" t="n">
        <v>0.1990234428240552</v>
      </c>
      <c r="AC36" s="37" t="n"/>
      <c r="AD36" s="19" t="n">
        <v>0.3562046864088108</v>
      </c>
      <c r="AE36" s="19" t="n">
        <v>0.3577448436228703</v>
      </c>
      <c r="AF36" s="19" t="n">
        <v>0.0991312294561941</v>
      </c>
      <c r="AG36" s="19" t="n">
        <v>0.01</v>
      </c>
      <c r="AH36" s="37" t="n">
        <v>0</v>
      </c>
      <c r="AI36" s="37" t="n">
        <v>643</v>
      </c>
      <c r="AJ36" s="37" t="n">
        <v>1.052064461843383</v>
      </c>
    </row>
    <row r="37">
      <c r="A37" s="37" t="n">
        <v>2163</v>
      </c>
      <c r="B37" s="16" t="inlineStr">
        <is>
          <t>严凯</t>
        </is>
      </c>
      <c r="C37" s="16" t="inlineStr">
        <is>
          <t>东方惠新灵活配置混合C</t>
        </is>
      </c>
      <c r="D37" s="16" t="inlineStr">
        <is>
          <t>认知纪律型：认知质量最高</t>
        </is>
      </c>
      <c r="E37" s="37" t="n">
        <v>2163</v>
      </c>
      <c r="F37" s="38" t="n">
        <v>43466</v>
      </c>
      <c r="G37" s="37" t="n">
        <v>2018</v>
      </c>
      <c r="H37" s="37" t="n">
        <v>4</v>
      </c>
      <c r="I37" s="19" t="n">
        <v>-0.0204246425687549</v>
      </c>
      <c r="J37" s="19" t="n">
        <v>-0.0229246425687549</v>
      </c>
      <c r="K37" s="19" t="n">
        <v>0.0333941350822328</v>
      </c>
      <c r="L37" s="19" t="n">
        <v>0.1579230729509086</v>
      </c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>
        <v>0</v>
      </c>
      <c r="W37" s="37" t="n"/>
      <c r="X37" s="37" t="n"/>
      <c r="Y37" s="19" t="n">
        <v>0.4204643707682625</v>
      </c>
      <c r="Z37" s="37" t="n"/>
      <c r="AA37" s="37" t="n">
        <v>-1.34657859044503</v>
      </c>
      <c r="AB37" s="19" t="n">
        <v>0.1693579961350066</v>
      </c>
      <c r="AC37" s="37" t="n"/>
      <c r="AD37" s="19" t="n">
        <v>0.3348349479944259</v>
      </c>
      <c r="AE37" s="19" t="n">
        <v>0.3578948122392172</v>
      </c>
      <c r="AF37" s="37" t="n"/>
      <c r="AG37" s="37" t="n">
        <v>8.17</v>
      </c>
      <c r="AH37" s="37" t="n">
        <v>2.100468908871912</v>
      </c>
      <c r="AI37" s="37" t="n">
        <v>1138</v>
      </c>
      <c r="AJ37" s="37" t="n">
        <v>1.136363431904791</v>
      </c>
    </row>
    <row r="38">
      <c r="A38" s="37" t="n">
        <v>2163</v>
      </c>
      <c r="B38" s="16" t="inlineStr">
        <is>
          <t>严凯</t>
        </is>
      </c>
      <c r="C38" s="16" t="inlineStr">
        <is>
          <t>东方惠新灵活配置混合C</t>
        </is>
      </c>
      <c r="D38" s="16" t="inlineStr">
        <is>
          <t>认知纪律型：认知质量最高</t>
        </is>
      </c>
      <c r="E38" s="37" t="n">
        <v>2163</v>
      </c>
      <c r="F38" s="38" t="n">
        <v>43556</v>
      </c>
      <c r="G38" s="37" t="n">
        <v>2019</v>
      </c>
      <c r="H38" s="37" t="n">
        <v>1</v>
      </c>
      <c r="I38" s="19" t="n">
        <v>-0.2841002763904381</v>
      </c>
      <c r="J38" s="19" t="n">
        <v>-0.2866002763904381</v>
      </c>
      <c r="K38" s="19" t="n">
        <v>0.0333941350822328</v>
      </c>
      <c r="L38" s="19" t="n">
        <v>0.3337911965474408</v>
      </c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>
        <v>0</v>
      </c>
      <c r="W38" s="37" t="n"/>
      <c r="X38" s="37" t="n"/>
      <c r="Y38" s="19" t="n">
        <v>0.3597858258117295</v>
      </c>
      <c r="Z38" s="37" t="n"/>
      <c r="AA38" s="37" t="n">
        <v>-1.34657859044503</v>
      </c>
      <c r="AB38" s="19" t="n">
        <v>0.1678171727409644</v>
      </c>
      <c r="AC38" s="37" t="n"/>
      <c r="AD38" s="19" t="n">
        <v>0.3337655899267742</v>
      </c>
      <c r="AE38" s="19" t="n">
        <v>0.3852937677878573</v>
      </c>
      <c r="AF38" s="37" t="n"/>
      <c r="AG38" s="37" t="n">
        <v>7.13</v>
      </c>
      <c r="AH38" s="37" t="n">
        <v>1.964311234426205</v>
      </c>
      <c r="AI38" s="37" t="n">
        <v>1228</v>
      </c>
      <c r="AJ38" s="37" t="n">
        <v>1.212477925925602</v>
      </c>
    </row>
    <row r="39">
      <c r="A39" s="37" t="n">
        <v>2163</v>
      </c>
      <c r="B39" s="16" t="inlineStr">
        <is>
          <t>严凯</t>
        </is>
      </c>
      <c r="C39" s="16" t="inlineStr">
        <is>
          <t>东方惠新灵活配置混合C</t>
        </is>
      </c>
      <c r="D39" s="16" t="inlineStr">
        <is>
          <t>认知纪律型：认知质量最高</t>
        </is>
      </c>
      <c r="E39" s="37" t="n">
        <v>2163</v>
      </c>
      <c r="F39" s="38" t="n">
        <v>43647</v>
      </c>
      <c r="G39" s="37" t="n">
        <v>2019</v>
      </c>
      <c r="H39" s="37" t="n">
        <v>2</v>
      </c>
      <c r="I39" s="19" t="n">
        <v>0.0040639393118395</v>
      </c>
      <c r="J39" s="19" t="n">
        <v>0.0015639393118395</v>
      </c>
      <c r="K39" s="19" t="n">
        <v>0.0333941350822328</v>
      </c>
      <c r="L39" s="19" t="n">
        <v>0.3456423695210283</v>
      </c>
      <c r="M39" s="37" t="n"/>
      <c r="N39" s="37" t="n"/>
      <c r="O39" s="37" t="n"/>
      <c r="P39" s="37" t="n"/>
      <c r="Q39" s="37" t="n">
        <v>246.256581098849</v>
      </c>
      <c r="R39" s="37" t="n"/>
      <c r="S39" s="37" t="n"/>
      <c r="T39" s="37" t="n"/>
      <c r="U39" s="37" t="n"/>
      <c r="V39" s="37" t="n">
        <v>0</v>
      </c>
      <c r="W39" s="37" t="n"/>
      <c r="X39" s="37" t="n"/>
      <c r="Y39" s="19" t="n">
        <v>0.3648314157949697</v>
      </c>
      <c r="Z39" s="37" t="n"/>
      <c r="AA39" s="37" t="n">
        <v>-1.34657859044503</v>
      </c>
      <c r="AB39" s="19" t="n">
        <v>-0.0845546143321261</v>
      </c>
      <c r="AC39" s="19" t="n">
        <v>0.6966189040275262</v>
      </c>
      <c r="AD39" s="19" t="n">
        <v>0.2123294701306899</v>
      </c>
      <c r="AE39" s="19" t="n">
        <v>0.3858347149157036</v>
      </c>
      <c r="AF39" s="37" t="n"/>
      <c r="AG39" s="37" t="n">
        <v>32.08</v>
      </c>
      <c r="AH39" s="37" t="n">
        <v>3.468232782998314</v>
      </c>
      <c r="AI39" s="37" t="n">
        <v>1319</v>
      </c>
      <c r="AJ39" s="37" t="n">
        <v>1.283964969935829</v>
      </c>
    </row>
    <row r="40">
      <c r="A40" s="37" t="n">
        <v>2163</v>
      </c>
      <c r="B40" s="16" t="inlineStr">
        <is>
          <t>严凯</t>
        </is>
      </c>
      <c r="C40" s="16" t="inlineStr">
        <is>
          <t>东方惠新灵活配置混合C</t>
        </is>
      </c>
      <c r="D40" s="16" t="inlineStr">
        <is>
          <t>认知纪律型：认知质量最高</t>
        </is>
      </c>
      <c r="E40" s="37" t="n">
        <v>2163</v>
      </c>
      <c r="F40" s="38" t="n">
        <v>43739</v>
      </c>
      <c r="G40" s="37" t="n">
        <v>2019</v>
      </c>
      <c r="H40" s="37" t="n">
        <v>3</v>
      </c>
      <c r="I40" s="19" t="n">
        <v>-0.1678359417161358</v>
      </c>
      <c r="J40" s="19" t="n">
        <v>-0.1703359417161358</v>
      </c>
      <c r="K40" s="19" t="n">
        <v>0.0333941350822328</v>
      </c>
      <c r="L40" s="19" t="n">
        <v>0.1282623814427503</v>
      </c>
      <c r="M40" s="37" t="n"/>
      <c r="N40" s="37" t="n"/>
      <c r="O40" s="37" t="n"/>
      <c r="P40" s="37" t="n"/>
      <c r="Q40" s="37" t="n">
        <v>246.256581098849</v>
      </c>
      <c r="R40" s="37" t="n"/>
      <c r="S40" s="19" t="n">
        <v>0.127998</v>
      </c>
      <c r="T40" s="19" t="n">
        <v>0.101987</v>
      </c>
      <c r="U40" s="19" t="n">
        <v>0.6299212598425203</v>
      </c>
      <c r="V40" s="37" t="n">
        <v>0</v>
      </c>
      <c r="W40" s="37" t="n"/>
      <c r="X40" s="37" t="n">
        <v>0</v>
      </c>
      <c r="Y40" s="19" t="n">
        <v>0.3990228948676054</v>
      </c>
      <c r="Z40" s="19" t="n">
        <v>0.914340361844136</v>
      </c>
      <c r="AA40" s="37" t="n">
        <v>-1.34657859044503</v>
      </c>
      <c r="AB40" s="19" t="n">
        <v>-0.09440024892428669</v>
      </c>
      <c r="AC40" s="19" t="n">
        <v>0.6738343500600449</v>
      </c>
      <c r="AD40" s="19" t="n">
        <v>0.2050967841077565</v>
      </c>
      <c r="AE40" s="19" t="n">
        <v>0.3956330990795135</v>
      </c>
      <c r="AF40" s="19" t="n">
        <v>0.0630498183114953</v>
      </c>
      <c r="AG40" s="37" t="n">
        <v>8.199999999999999</v>
      </c>
      <c r="AH40" s="37" t="n">
        <v>2.104134154270207</v>
      </c>
      <c r="AI40" s="37" t="n">
        <v>1411</v>
      </c>
      <c r="AJ40" s="37" t="n">
        <v>1.351389769071329</v>
      </c>
    </row>
    <row r="41">
      <c r="A41" s="37" t="n">
        <v>2163</v>
      </c>
      <c r="B41" s="16" t="inlineStr">
        <is>
          <t>严凯</t>
        </is>
      </c>
      <c r="C41" s="16" t="inlineStr">
        <is>
          <t>东方惠新灵活配置混合C</t>
        </is>
      </c>
      <c r="D41" s="16" t="inlineStr">
        <is>
          <t>认知纪律型：认知质量最高</t>
        </is>
      </c>
      <c r="E41" s="37" t="n">
        <v>2163</v>
      </c>
      <c r="F41" s="38" t="n">
        <v>43831</v>
      </c>
      <c r="G41" s="37" t="n">
        <v>2019</v>
      </c>
      <c r="H41" s="37" t="n">
        <v>4</v>
      </c>
      <c r="I41" s="19" t="n">
        <v>0.0075389105058358</v>
      </c>
      <c r="J41" s="19" t="n">
        <v>0.0050389105058358</v>
      </c>
      <c r="K41" s="19" t="n">
        <v>0.0333941350822328</v>
      </c>
      <c r="L41" s="19" t="n">
        <v>0.1024259192651567</v>
      </c>
      <c r="M41" s="37" t="n"/>
      <c r="N41" s="37" t="n"/>
      <c r="O41" s="37" t="n">
        <v>1</v>
      </c>
      <c r="P41" s="37" t="n">
        <v>1</v>
      </c>
      <c r="Q41" s="37" t="n">
        <v>181.223367673311</v>
      </c>
      <c r="R41" s="37" t="n"/>
      <c r="S41" s="19" t="n">
        <v>0.948136</v>
      </c>
      <c r="T41" s="19" t="n">
        <v>0.980394</v>
      </c>
      <c r="U41" s="37" t="n">
        <v>1.97757334788597</v>
      </c>
      <c r="V41" s="37" t="n">
        <v>0</v>
      </c>
      <c r="W41" s="37" t="n">
        <v>0</v>
      </c>
      <c r="X41" s="37" t="n">
        <v>0</v>
      </c>
      <c r="Y41" s="19" t="n">
        <v>-0.1002781375975259</v>
      </c>
      <c r="Z41" s="37" t="n"/>
      <c r="AA41" s="37" t="n">
        <v>-1.34657859044503</v>
      </c>
      <c r="AB41" s="19" t="n">
        <v>-0.2046733166943592</v>
      </c>
      <c r="AC41" s="19" t="n">
        <v>0.5038137049986531</v>
      </c>
      <c r="AD41" s="19" t="n">
        <v>0.1423097544209034</v>
      </c>
      <c r="AE41" s="19" t="n">
        <v>0.1043385630328826</v>
      </c>
      <c r="AF41" s="19" t="n">
        <v>0.1323744570746675</v>
      </c>
      <c r="AG41" s="37" t="n">
        <v>19.59</v>
      </c>
      <c r="AH41" s="37" t="n">
        <v>2.975019231956449</v>
      </c>
      <c r="AI41" s="37" t="n">
        <v>1503</v>
      </c>
      <c r="AJ41" s="37" t="n">
        <v>1.414554206971489</v>
      </c>
    </row>
    <row r="42">
      <c r="A42" s="37" t="n">
        <v>2163</v>
      </c>
      <c r="B42" s="16" t="inlineStr">
        <is>
          <t>严凯</t>
        </is>
      </c>
      <c r="C42" s="16" t="inlineStr">
        <is>
          <t>东方惠新灵活配置混合C</t>
        </is>
      </c>
      <c r="D42" s="16" t="inlineStr">
        <is>
          <t>认知纪律型：认知质量最高</t>
        </is>
      </c>
      <c r="E42" s="37" t="n">
        <v>2163</v>
      </c>
      <c r="F42" s="38" t="n">
        <v>43922</v>
      </c>
      <c r="G42" s="37" t="n">
        <v>2020</v>
      </c>
      <c r="H42" s="37" t="n">
        <v>1</v>
      </c>
      <c r="I42" s="19" t="n">
        <v>-0.1331563279427148</v>
      </c>
      <c r="J42" s="19" t="n">
        <v>-0.1356563279427148</v>
      </c>
      <c r="K42" s="19" t="n">
        <v>0.0333941350822328</v>
      </c>
      <c r="L42" s="19" t="n">
        <v>0.4010045891755025</v>
      </c>
      <c r="M42" s="37" t="n"/>
      <c r="N42" s="37" t="n"/>
      <c r="O42" s="37" t="n"/>
      <c r="P42" s="37" t="n"/>
      <c r="Q42" s="37" t="n">
        <v>181.223367673311</v>
      </c>
      <c r="R42" s="37" t="n"/>
      <c r="S42" s="37" t="n"/>
      <c r="T42" s="37" t="n"/>
      <c r="U42" s="37" t="n"/>
      <c r="V42" s="37" t="n">
        <v>0</v>
      </c>
      <c r="W42" s="37" t="n"/>
      <c r="X42" s="37" t="n">
        <v>0</v>
      </c>
      <c r="Y42" s="19" t="n">
        <v>-0.0969540809313327</v>
      </c>
      <c r="Z42" s="37" t="n"/>
      <c r="AA42" s="37" t="n">
        <v>-1.34657859044503</v>
      </c>
      <c r="AB42" s="19" t="n">
        <v>-0.3651342289569088</v>
      </c>
      <c r="AC42" s="19" t="n">
        <v>-0.613165692792953</v>
      </c>
      <c r="AD42" s="19" t="n">
        <v>-0.6567352180602793</v>
      </c>
      <c r="AE42" s="19" t="n">
        <v>0.1054002370284242</v>
      </c>
      <c r="AF42" s="37" t="n"/>
      <c r="AG42" s="37" t="n">
        <v>2.51</v>
      </c>
      <c r="AH42" s="19" t="n">
        <v>0.9202827531436923</v>
      </c>
      <c r="AI42" s="37" t="n">
        <v>1594</v>
      </c>
      <c r="AJ42" s="37" t="n">
        <v>1.473337676568675</v>
      </c>
    </row>
    <row r="43">
      <c r="A43" s="37" t="n">
        <v>2163</v>
      </c>
      <c r="B43" s="16" t="inlineStr">
        <is>
          <t>严凯</t>
        </is>
      </c>
      <c r="C43" s="16" t="inlineStr">
        <is>
          <t>东方惠新灵活配置混合C</t>
        </is>
      </c>
      <c r="D43" s="16" t="inlineStr">
        <is>
          <t>认知纪律型：认知质量最高</t>
        </is>
      </c>
      <c r="E43" s="37" t="n">
        <v>2163</v>
      </c>
      <c r="F43" s="38" t="n">
        <v>44013</v>
      </c>
      <c r="G43" s="37" t="n">
        <v>2020</v>
      </c>
      <c r="H43" s="37" t="n">
        <v>2</v>
      </c>
      <c r="I43" s="19" t="n">
        <v>0.1268795247818819</v>
      </c>
      <c r="J43" s="19" t="n">
        <v>0.1243795247818819</v>
      </c>
      <c r="K43" s="19" t="n">
        <v>0.0333941350822328</v>
      </c>
      <c r="L43" s="19" t="n">
        <v>0.4414005578317146</v>
      </c>
      <c r="M43" s="37" t="n"/>
      <c r="N43" s="37" t="n"/>
      <c r="O43" s="19" t="n">
        <v>0.75</v>
      </c>
      <c r="P43" s="37" t="n"/>
      <c r="Q43" s="37" t="n">
        <v>8040.75803485135</v>
      </c>
      <c r="R43" s="37" t="n"/>
      <c r="S43" s="19" t="n">
        <v>0.130236</v>
      </c>
      <c r="T43" s="19" t="n">
        <v>0.058257</v>
      </c>
      <c r="U43" s="19" t="n">
        <v>0.918999768323451</v>
      </c>
      <c r="V43" s="37" t="n">
        <v>0</v>
      </c>
      <c r="W43" s="37" t="n"/>
      <c r="X43" s="37" t="n">
        <v>0</v>
      </c>
      <c r="Y43" s="19" t="n">
        <v>-0.0401616524960758</v>
      </c>
      <c r="Z43" s="19" t="n">
        <v>0.9101975990009074</v>
      </c>
      <c r="AA43" s="37" t="n">
        <v>-1.34657859044503</v>
      </c>
      <c r="AB43" s="19" t="n">
        <v>-0.4218645915776031</v>
      </c>
      <c r="AC43" s="19" t="n">
        <v>-0.756742655535674</v>
      </c>
      <c r="AD43" s="19" t="n">
        <v>-0.7762065312649237</v>
      </c>
      <c r="AE43" s="19" t="n">
        <v>0.127204982026359</v>
      </c>
      <c r="AF43" s="19" t="n">
        <v>0.105015788516495</v>
      </c>
      <c r="AG43" s="37" t="n">
        <v>2.01</v>
      </c>
      <c r="AH43" s="19" t="n">
        <v>0.6981347220709843</v>
      </c>
      <c r="AI43" s="37" t="n">
        <v>51</v>
      </c>
      <c r="AJ43" s="37" t="n">
        <v>1.528856660004977</v>
      </c>
    </row>
    <row r="44">
      <c r="A44" s="37" t="n">
        <v>2163</v>
      </c>
      <c r="B44" s="16" t="inlineStr">
        <is>
          <t>严凯</t>
        </is>
      </c>
      <c r="C44" s="16" t="inlineStr">
        <is>
          <t>东方惠新灵活配置混合C</t>
        </is>
      </c>
      <c r="D44" s="16" t="inlineStr">
        <is>
          <t>认知纪律型：认知质量最高</t>
        </is>
      </c>
      <c r="E44" s="37" t="n">
        <v>2163</v>
      </c>
      <c r="F44" s="38" t="n">
        <v>44105</v>
      </c>
      <c r="G44" s="37" t="n">
        <v>2020</v>
      </c>
      <c r="H44" s="37" t="n">
        <v>3</v>
      </c>
      <c r="I44" s="19" t="n">
        <v>0.07536446750679519</v>
      </c>
      <c r="J44" s="19" t="n">
        <v>0.07286446750679521</v>
      </c>
      <c r="K44" s="19" t="n">
        <v>0.0333941350822328</v>
      </c>
      <c r="L44" s="19" t="n">
        <v>0.1577128310633599</v>
      </c>
      <c r="M44" s="37" t="n"/>
      <c r="N44" s="37" t="n"/>
      <c r="O44" s="37" t="n"/>
      <c r="P44" s="37" t="n"/>
      <c r="Q44" s="37" t="n">
        <v>8040.75803485135</v>
      </c>
      <c r="R44" s="37" t="n"/>
      <c r="S44" s="37" t="n"/>
      <c r="T44" s="37" t="n"/>
      <c r="U44" s="37" t="n"/>
      <c r="V44" s="37" t="n">
        <v>0</v>
      </c>
      <c r="W44" s="37" t="n"/>
      <c r="X44" s="37" t="n">
        <v>0</v>
      </c>
      <c r="Y44" s="19" t="n">
        <v>-0.0429937895128747</v>
      </c>
      <c r="Z44" s="37" t="n"/>
      <c r="AA44" s="37" t="n">
        <v>-1.34657859044503</v>
      </c>
      <c r="AB44" s="19" t="n">
        <v>-0.3733616616646382</v>
      </c>
      <c r="AC44" s="19" t="n">
        <v>-0.5935427950237874</v>
      </c>
      <c r="AD44" s="19" t="n">
        <v>-0.5073638525016277</v>
      </c>
      <c r="AE44" s="19" t="n">
        <v>0.1361225834500682</v>
      </c>
      <c r="AF44" s="37" t="n"/>
      <c r="AG44" s="37" t="n">
        <v>2.16</v>
      </c>
      <c r="AH44" s="19" t="n">
        <v>0.7701082216960737</v>
      </c>
      <c r="AI44" s="37" t="n">
        <v>143</v>
      </c>
      <c r="AJ44" s="37" t="n">
        <v>1.582017645373166</v>
      </c>
    </row>
    <row r="45">
      <c r="A45" s="37" t="n">
        <v>2163</v>
      </c>
      <c r="B45" s="16" t="inlineStr">
        <is>
          <t>严凯</t>
        </is>
      </c>
      <c r="C45" s="16" t="inlineStr">
        <is>
          <t>东方惠新灵活配置混合C</t>
        </is>
      </c>
      <c r="D45" s="16" t="inlineStr">
        <is>
          <t>认知纪律型：认知质量最高</t>
        </is>
      </c>
      <c r="E45" s="37" t="n">
        <v>2163</v>
      </c>
      <c r="F45" s="38" t="n">
        <v>44197</v>
      </c>
      <c r="G45" s="37" t="n">
        <v>2020</v>
      </c>
      <c r="H45" s="37" t="n">
        <v>4</v>
      </c>
      <c r="I45" s="19" t="n">
        <v>0.0051317401960782</v>
      </c>
      <c r="J45" s="19" t="n">
        <v>0.0026317401960782</v>
      </c>
      <c r="K45" s="19" t="n">
        <v>0.0333941350822328</v>
      </c>
      <c r="L45" s="19" t="n">
        <v>0.1551450452814288</v>
      </c>
      <c r="M45" s="37" t="n"/>
      <c r="N45" s="37" t="n"/>
      <c r="O45" s="37" t="n">
        <v>1</v>
      </c>
      <c r="P45" s="37" t="n">
        <v>1</v>
      </c>
      <c r="Q45" s="37" t="n">
        <v>184.980652810235</v>
      </c>
      <c r="R45" s="37" t="n"/>
      <c r="S45" s="19" t="n">
        <v>0.216631</v>
      </c>
      <c r="T45" s="19" t="n">
        <v>0.106667</v>
      </c>
      <c r="U45" s="19" t="n">
        <v>0.672135081854804</v>
      </c>
      <c r="V45" s="37" t="n">
        <v>0</v>
      </c>
      <c r="W45" s="37" t="n">
        <v>0</v>
      </c>
      <c r="X45" s="37" t="n">
        <v>-7855.777382041115</v>
      </c>
      <c r="Y45" s="19" t="n">
        <v>-0.0149799548655217</v>
      </c>
      <c r="Z45" s="37" t="n">
        <v>1</v>
      </c>
      <c r="AA45" s="37" t="n">
        <v>-1.34657859044503</v>
      </c>
      <c r="AB45" s="19" t="n">
        <v>-0.3319755111636206</v>
      </c>
      <c r="AC45" s="19" t="n">
        <v>-0.4739383643440817</v>
      </c>
      <c r="AD45" s="19" t="n">
        <v>-0.3780327408555046</v>
      </c>
      <c r="AE45" s="19" t="n">
        <v>0.1371836365944741</v>
      </c>
      <c r="AF45" s="37" t="n"/>
      <c r="AG45" s="37" t="n">
        <v>7.67</v>
      </c>
      <c r="AH45" s="37" t="n">
        <v>2.037316615379165</v>
      </c>
      <c r="AI45" s="37" t="n">
        <v>235</v>
      </c>
      <c r="AJ45" s="37" t="n">
        <v>1.632494624674078</v>
      </c>
    </row>
    <row r="46">
      <c r="A46" s="37" t="n">
        <v>2163</v>
      </c>
      <c r="B46" s="16" t="inlineStr">
        <is>
          <t>严凯</t>
        </is>
      </c>
      <c r="C46" s="16" t="inlineStr">
        <is>
          <t>东方惠新灵活配置混合C</t>
        </is>
      </c>
      <c r="D46" s="16" t="inlineStr">
        <is>
          <t>认知纪律型：认知质量最高</t>
        </is>
      </c>
      <c r="E46" s="37" t="n">
        <v>2163</v>
      </c>
      <c r="F46" s="38" t="n">
        <v>44287</v>
      </c>
      <c r="G46" s="37" t="n">
        <v>2021</v>
      </c>
      <c r="H46" s="37" t="n">
        <v>1</v>
      </c>
      <c r="I46" s="19" t="n">
        <v>-0.1580431303817722</v>
      </c>
      <c r="J46" s="19" t="n">
        <v>-0.1605431303817722</v>
      </c>
      <c r="K46" s="19" t="n">
        <v>0.0333941350822328</v>
      </c>
      <c r="L46" s="19" t="n">
        <v>0.2928651450798727</v>
      </c>
      <c r="M46" s="37" t="n"/>
      <c r="N46" s="37" t="n"/>
      <c r="O46" s="37" t="n"/>
      <c r="P46" s="37" t="n"/>
      <c r="Q46" s="37" t="n">
        <v>184.980652810235</v>
      </c>
      <c r="R46" s="37" t="n"/>
      <c r="S46" s="37" t="n"/>
      <c r="T46" s="37" t="n"/>
      <c r="U46" s="37" t="n"/>
      <c r="V46" s="37" t="n">
        <v>0</v>
      </c>
      <c r="W46" s="37" t="n"/>
      <c r="X46" s="37" t="n">
        <v>0</v>
      </c>
      <c r="Y46" s="19" t="n">
        <v>0.0349752859029491</v>
      </c>
      <c r="Z46" s="37" t="n"/>
      <c r="AA46" s="37" t="n">
        <v>-1.34657859044503</v>
      </c>
      <c r="AB46" s="19" t="n">
        <v>-0.3208092667465764</v>
      </c>
      <c r="AC46" s="19" t="n">
        <v>-0.6104660295770913</v>
      </c>
      <c r="AD46" s="19" t="n">
        <v>-0.3518221754904362</v>
      </c>
      <c r="AE46" s="19" t="n">
        <v>0.1105516265301425</v>
      </c>
      <c r="AF46" s="37" t="n"/>
      <c r="AG46" s="37" t="n">
        <v>1.82</v>
      </c>
      <c r="AH46" s="19" t="n">
        <v>0.598836501088704</v>
      </c>
      <c r="AI46" s="37" t="n">
        <v>325</v>
      </c>
      <c r="AJ46" s="37" t="n">
        <v>1.679525235163055</v>
      </c>
    </row>
    <row r="47">
      <c r="A47" s="37" t="n">
        <v>2163</v>
      </c>
      <c r="B47" s="16" t="inlineStr">
        <is>
          <t>严凯</t>
        </is>
      </c>
      <c r="C47" s="16" t="inlineStr">
        <is>
          <t>东方惠新灵活配置混合C</t>
        </is>
      </c>
      <c r="D47" s="16" t="inlineStr">
        <is>
          <t>认知纪律型：认知质量最高</t>
        </is>
      </c>
      <c r="E47" s="37" t="n">
        <v>2163</v>
      </c>
      <c r="F47" s="38" t="n">
        <v>44378</v>
      </c>
      <c r="G47" s="37" t="n">
        <v>2021</v>
      </c>
      <c r="H47" s="37" t="n">
        <v>2</v>
      </c>
      <c r="I47" s="19" t="n">
        <v>0.0072404742510643</v>
      </c>
      <c r="J47" s="19" t="n">
        <v>0.0047404742510643</v>
      </c>
      <c r="K47" s="19" t="n">
        <v>0.0333941350822328</v>
      </c>
      <c r="L47" s="19" t="n">
        <v>0.3235368143689687</v>
      </c>
      <c r="M47" s="37" t="n"/>
      <c r="N47" s="37" t="n"/>
      <c r="O47" s="19" t="n">
        <v>0.75</v>
      </c>
      <c r="P47" s="37" t="n">
        <v>1</v>
      </c>
      <c r="Q47" s="37" t="n">
        <v>577.489194176881</v>
      </c>
      <c r="R47" s="37" t="n"/>
      <c r="S47" s="19" t="n">
        <v>0.185348</v>
      </c>
      <c r="T47" s="19" t="n">
        <v>0.121455</v>
      </c>
      <c r="U47" s="19" t="n">
        <v>0.0566250306147439</v>
      </c>
      <c r="V47" s="37" t="n">
        <v>0</v>
      </c>
      <c r="W47" s="19" t="n">
        <v>-0.25</v>
      </c>
      <c r="X47" s="37" t="n">
        <v>0</v>
      </c>
      <c r="Y47" s="19" t="n">
        <v>0.0344799118726733</v>
      </c>
      <c r="Z47" s="19" t="n">
        <v>0.9110956217407846</v>
      </c>
      <c r="AA47" s="37" t="n">
        <v>-1.34657859044503</v>
      </c>
      <c r="AB47" s="19" t="n">
        <v>-0.2016493524933072</v>
      </c>
      <c r="AC47" s="37" t="n">
        <v>-1.818183725869298</v>
      </c>
      <c r="AD47" s="19" t="n">
        <v>-0.2940445404338834</v>
      </c>
      <c r="AE47" s="19" t="n">
        <v>0.1106970897051494</v>
      </c>
      <c r="AF47" s="19" t="n">
        <v>0.06522724399529591</v>
      </c>
      <c r="AG47" s="37" t="n">
        <v>1.84</v>
      </c>
      <c r="AH47" s="19" t="n">
        <v>0.6097655716208943</v>
      </c>
      <c r="AI47" s="37" t="n">
        <v>416</v>
      </c>
      <c r="AJ47" s="37" t="n">
        <v>1.724930889350968</v>
      </c>
    </row>
    <row r="48">
      <c r="A48" s="37" t="n">
        <v>2163</v>
      </c>
      <c r="B48" s="16" t="inlineStr">
        <is>
          <t>严凯</t>
        </is>
      </c>
      <c r="C48" s="16" t="inlineStr">
        <is>
          <t>东方惠新灵活配置混合C</t>
        </is>
      </c>
      <c r="D48" s="16" t="inlineStr">
        <is>
          <t>认知纪律型：认知质量最高</t>
        </is>
      </c>
      <c r="E48" s="37" t="n">
        <v>2163</v>
      </c>
      <c r="F48" s="38" t="n">
        <v>44470</v>
      </c>
      <c r="G48" s="37" t="n">
        <v>2021</v>
      </c>
      <c r="H48" s="37" t="n">
        <v>3</v>
      </c>
      <c r="I48" s="19" t="n">
        <v>0.0068290053014641</v>
      </c>
      <c r="J48" s="19" t="n">
        <v>0.0043290053014641</v>
      </c>
      <c r="K48" s="19" t="n">
        <v>0.0333941350822328</v>
      </c>
      <c r="L48" s="19" t="n">
        <v>0.1161543378142653</v>
      </c>
      <c r="M48" s="37" t="n"/>
      <c r="N48" s="37" t="n"/>
      <c r="O48" s="37" t="n"/>
      <c r="P48" s="37" t="n"/>
      <c r="Q48" s="37" t="n">
        <v>577.489194176881</v>
      </c>
      <c r="R48" s="37" t="n"/>
      <c r="S48" s="19" t="n">
        <v>0.782452</v>
      </c>
      <c r="T48" s="19" t="n">
        <v>0.105209</v>
      </c>
      <c r="U48" s="19" t="n">
        <v>0.3232916972814107</v>
      </c>
      <c r="V48" s="37" t="n">
        <v>0</v>
      </c>
      <c r="W48" s="37" t="n"/>
      <c r="X48" s="37" t="n">
        <v>0</v>
      </c>
      <c r="Y48" s="19" t="n">
        <v>0.0344989246563587</v>
      </c>
      <c r="Z48" s="19" t="n">
        <v>0.9282680297968268</v>
      </c>
      <c r="AA48" s="37" t="n">
        <v>-1.34657859044503</v>
      </c>
      <c r="AB48" s="19" t="n">
        <v>-0.2002299105258826</v>
      </c>
      <c r="AC48" s="37" t="n">
        <v>-1.795975024780876</v>
      </c>
      <c r="AD48" s="19" t="n">
        <v>-0.2900711792459821</v>
      </c>
      <c r="AE48" s="19" t="n">
        <v>0.09575626925582691</v>
      </c>
      <c r="AF48" s="19" t="n">
        <v>-0.06288184406977949</v>
      </c>
      <c r="AG48" s="19" t="n">
        <v>0.07000000000000001</v>
      </c>
      <c r="AH48" s="37" t="n">
        <v>0</v>
      </c>
      <c r="AI48" s="37" t="n">
        <v>51</v>
      </c>
      <c r="AJ48" s="37" t="n">
        <v>1.768831068226209</v>
      </c>
    </row>
    <row r="49">
      <c r="A49" s="37" t="n">
        <v>2163</v>
      </c>
      <c r="B49" s="16" t="inlineStr">
        <is>
          <t>严凯</t>
        </is>
      </c>
      <c r="C49" s="16" t="inlineStr">
        <is>
          <t>东方惠新灵活配置混合C</t>
        </is>
      </c>
      <c r="D49" s="16" t="inlineStr">
        <is>
          <t>认知纪律型：认知质量最高</t>
        </is>
      </c>
      <c r="E49" s="37" t="n">
        <v>2163</v>
      </c>
      <c r="F49" s="38" t="n">
        <v>44562</v>
      </c>
      <c r="G49" s="37" t="n">
        <v>2021</v>
      </c>
      <c r="H49" s="37" t="n">
        <v>4</v>
      </c>
      <c r="I49" s="19" t="n">
        <v>-0.0563141454707722</v>
      </c>
      <c r="J49" s="19" t="n">
        <v>-0.0588141454707722</v>
      </c>
      <c r="K49" s="19" t="n">
        <v>0.0333941350822328</v>
      </c>
      <c r="L49" s="19" t="n">
        <v>0.3195828566632491</v>
      </c>
      <c r="M49" s="37" t="n"/>
      <c r="N49" s="37" t="n"/>
      <c r="O49" s="19" t="n">
        <v>0.7647058823529411</v>
      </c>
      <c r="P49" s="37" t="n">
        <v>1</v>
      </c>
      <c r="Q49" s="37" t="n">
        <v>241.727850250846</v>
      </c>
      <c r="R49" s="37" t="n"/>
      <c r="S49" s="19" t="n">
        <v>0.373904</v>
      </c>
      <c r="T49" s="19" t="n">
        <v>0.055569</v>
      </c>
      <c r="U49" s="19" t="n">
        <v>0.1093395773211106</v>
      </c>
      <c r="V49" s="37" t="n">
        <v>0</v>
      </c>
      <c r="W49" s="19" t="n">
        <v>-0.2352941176470588</v>
      </c>
      <c r="X49" s="37" t="n">
        <v>-335.761343926035</v>
      </c>
      <c r="Y49" s="19" t="n">
        <v>0.0058868691331852</v>
      </c>
      <c r="Z49" s="19" t="n">
        <v>0.8253840932906295</v>
      </c>
      <c r="AA49" s="37" t="n">
        <v>-1.34657859044503</v>
      </c>
      <c r="AB49" s="19" t="n">
        <v>-0.0934150790296598</v>
      </c>
      <c r="AC49" s="37" t="n"/>
      <c r="AD49" s="19" t="n">
        <v>-0.1073236985164351</v>
      </c>
      <c r="AE49" s="19" t="n">
        <v>0.0969510024237519</v>
      </c>
      <c r="AF49" s="19" t="n">
        <v>0.0645761600062901</v>
      </c>
      <c r="AG49" s="19" t="n">
        <v>0.13</v>
      </c>
      <c r="AH49" s="37" t="n">
        <v>0</v>
      </c>
      <c r="AI49" s="37" t="n">
        <v>143</v>
      </c>
      <c r="AJ49" s="37" t="n">
        <v>1.810884796847661</v>
      </c>
    </row>
    <row r="50">
      <c r="A50" s="37" t="n">
        <v>2163</v>
      </c>
      <c r="B50" s="16" t="inlineStr">
        <is>
          <t>严凯</t>
        </is>
      </c>
      <c r="C50" s="16" t="inlineStr">
        <is>
          <t>东方惠新灵活配置混合C</t>
        </is>
      </c>
      <c r="D50" s="16" t="inlineStr">
        <is>
          <t>认知纪律型：认知质量最高</t>
        </is>
      </c>
      <c r="E50" s="37" t="n">
        <v>2163</v>
      </c>
      <c r="F50" s="38" t="n">
        <v>44652</v>
      </c>
      <c r="G50" s="37" t="n">
        <v>2022</v>
      </c>
      <c r="H50" s="37" t="n">
        <v>1</v>
      </c>
      <c r="I50" s="19" t="n">
        <v>-0.1249290713069787</v>
      </c>
      <c r="J50" s="19" t="n">
        <v>-0.1274290713069787</v>
      </c>
      <c r="K50" s="19" t="n">
        <v>0.0333941350822328</v>
      </c>
      <c r="L50" s="19" t="n">
        <v>0.2783084422585695</v>
      </c>
      <c r="M50" s="37" t="n"/>
      <c r="N50" s="37" t="n"/>
      <c r="O50" s="37" t="n"/>
      <c r="P50" s="37" t="n"/>
      <c r="Q50" s="37" t="n">
        <v>241.727850250846</v>
      </c>
      <c r="R50" s="37" t="n"/>
      <c r="S50" s="37" t="n"/>
      <c r="T50" s="37" t="n"/>
      <c r="U50" s="37" t="n"/>
      <c r="V50" s="37" t="n">
        <v>0</v>
      </c>
      <c r="W50" s="37" t="n"/>
      <c r="X50" s="37" t="n">
        <v>0</v>
      </c>
      <c r="Y50" s="19" t="n">
        <v>0.0068201365958442</v>
      </c>
      <c r="Z50" s="37" t="n"/>
      <c r="AA50" s="37" t="n">
        <v>-1.34657859044503</v>
      </c>
      <c r="AB50" s="19" t="n">
        <v>-0.1261921993524556</v>
      </c>
      <c r="AC50" s="19" t="n">
        <v>-0.344308330287055</v>
      </c>
      <c r="AD50" s="19" t="n">
        <v>-0.1883275934573918</v>
      </c>
      <c r="AE50" s="19" t="n">
        <v>0.095561484745553</v>
      </c>
      <c r="AF50" s="37" t="n"/>
      <c r="AG50" s="19" t="n">
        <v>0.12</v>
      </c>
      <c r="AH50" s="37" t="n">
        <v>0</v>
      </c>
      <c r="AI50" s="37" t="n">
        <v>233</v>
      </c>
      <c r="AJ50" s="37" t="n">
        <v>1.850380935190316</v>
      </c>
    </row>
    <row r="51">
      <c r="A51" s="37" t="n">
        <v>2163</v>
      </c>
      <c r="B51" s="16" t="inlineStr">
        <is>
          <t>严凯</t>
        </is>
      </c>
      <c r="C51" s="16" t="inlineStr">
        <is>
          <t>东方惠新灵活配置混合C</t>
        </is>
      </c>
      <c r="D51" s="16" t="inlineStr">
        <is>
          <t>认知纪律型：认知质量最高</t>
        </is>
      </c>
      <c r="E51" s="37" t="n">
        <v>2163</v>
      </c>
      <c r="F51" s="38" t="n">
        <v>44743</v>
      </c>
      <c r="G51" s="37" t="n">
        <v>2022</v>
      </c>
      <c r="H51" s="37" t="n">
        <v>2</v>
      </c>
      <c r="I51" s="19" t="n">
        <v>0.0621420079974071</v>
      </c>
      <c r="J51" s="19" t="n">
        <v>0.0596420079974071</v>
      </c>
      <c r="K51" s="19" t="n">
        <v>0.0333941350822328</v>
      </c>
      <c r="L51" s="19" t="n">
        <v>0.4977723738692104</v>
      </c>
      <c r="M51" s="37" t="n"/>
      <c r="N51" s="37" t="n"/>
      <c r="O51" s="19" t="n">
        <v>0.625</v>
      </c>
      <c r="P51" s="19" t="n">
        <v>0.9090909090909092</v>
      </c>
      <c r="Q51" s="37" t="n">
        <v>357.895176862753</v>
      </c>
      <c r="R51" s="37" t="n"/>
      <c r="S51" s="19" t="n">
        <v>0.133254</v>
      </c>
      <c r="T51" s="19" t="n">
        <v>0.050235</v>
      </c>
      <c r="U51" s="19" t="n">
        <v>0.8974329094513761</v>
      </c>
      <c r="V51" s="37" t="n">
        <v>0</v>
      </c>
      <c r="W51" s="19" t="n">
        <v>-0.284090909090909</v>
      </c>
      <c r="X51" s="37" t="n">
        <v>0</v>
      </c>
      <c r="Y51" s="19" t="n">
        <v>-0.0115257817168077</v>
      </c>
      <c r="Z51" s="19" t="n">
        <v>0.8289419755057045</v>
      </c>
      <c r="AA51" s="37" t="n">
        <v>-1.34657859044503</v>
      </c>
      <c r="AB51" s="19" t="n">
        <v>-0.1203083847568845</v>
      </c>
      <c r="AC51" s="19" t="n">
        <v>-0.3320728540037588</v>
      </c>
      <c r="AD51" s="19" t="n">
        <v>-0.1803042505687079</v>
      </c>
      <c r="AE51" s="19" t="n">
        <v>0.0838843958253165</v>
      </c>
      <c r="AF51" s="19" t="n">
        <v>0.1279647757689447</v>
      </c>
      <c r="AG51" s="19" t="n">
        <v>0.12</v>
      </c>
      <c r="AH51" s="37" t="n">
        <v>0</v>
      </c>
      <c r="AI51" s="37" t="n">
        <v>324</v>
      </c>
      <c r="AJ51" s="37" t="n">
        <v>1.888790383305188</v>
      </c>
    </row>
    <row r="52">
      <c r="A52" s="37" t="n">
        <v>2163</v>
      </c>
      <c r="B52" s="16" t="inlineStr">
        <is>
          <t>严凯</t>
        </is>
      </c>
      <c r="C52" s="16" t="inlineStr">
        <is>
          <t>东方惠新灵活配置混合C</t>
        </is>
      </c>
      <c r="D52" s="16" t="inlineStr">
        <is>
          <t>认知纪律型：认知质量最高</t>
        </is>
      </c>
      <c r="E52" s="37" t="n">
        <v>2163</v>
      </c>
      <c r="F52" s="38" t="n">
        <v>44835</v>
      </c>
      <c r="G52" s="37" t="n">
        <v>2022</v>
      </c>
      <c r="H52" s="37" t="n">
        <v>3</v>
      </c>
      <c r="I52" s="19" t="n">
        <v>-0.132478632478633</v>
      </c>
      <c r="J52" s="19" t="n">
        <v>-0.134978632478633</v>
      </c>
      <c r="K52" s="19" t="n">
        <v>0.0333941350822328</v>
      </c>
      <c r="L52" s="19" t="n">
        <v>0.1309088517260914</v>
      </c>
      <c r="M52" s="37" t="n"/>
      <c r="N52" s="37" t="n"/>
      <c r="O52" s="37" t="n"/>
      <c r="P52" s="37" t="n"/>
      <c r="Q52" s="37" t="n">
        <v>357.895176862753</v>
      </c>
      <c r="R52" s="37" t="n"/>
      <c r="S52" s="37" t="n"/>
      <c r="T52" s="37" t="n"/>
      <c r="U52" s="37" t="n"/>
      <c r="V52" s="37" t="n">
        <v>0</v>
      </c>
      <c r="W52" s="37" t="n"/>
      <c r="X52" s="37" t="n">
        <v>0</v>
      </c>
      <c r="Y52" s="19" t="n">
        <v>-0.0134874095664265</v>
      </c>
      <c r="Z52" s="37" t="n"/>
      <c r="AA52" s="37" t="n">
        <v>-1.34657859044503</v>
      </c>
      <c r="AB52" s="19" t="n">
        <v>-0.1435754401144724</v>
      </c>
      <c r="AC52" s="19" t="n">
        <v>-0.4880319001961197</v>
      </c>
      <c r="AD52" s="19" t="n">
        <v>-0.3018717753069516</v>
      </c>
      <c r="AE52" s="19" t="n">
        <v>0.0812756821954649</v>
      </c>
      <c r="AF52" s="37" t="n"/>
      <c r="AG52" s="19" t="n">
        <v>0.1</v>
      </c>
      <c r="AH52" s="37" t="n">
        <v>0</v>
      </c>
      <c r="AI52" s="37" t="n">
        <v>416</v>
      </c>
      <c r="AJ52" s="37" t="n">
        <v>1.926177915376808</v>
      </c>
    </row>
    <row r="53">
      <c r="A53" s="37" t="n">
        <v>2163</v>
      </c>
      <c r="B53" s="16" t="inlineStr">
        <is>
          <t>严凯</t>
        </is>
      </c>
      <c r="C53" s="16" t="inlineStr">
        <is>
          <t>东方惠新灵活配置混合C</t>
        </is>
      </c>
      <c r="D53" s="16" t="inlineStr">
        <is>
          <t>认知纪律型：认知质量最高</t>
        </is>
      </c>
      <c r="E53" s="37" t="n">
        <v>2163</v>
      </c>
      <c r="F53" s="38" t="n">
        <v>44927</v>
      </c>
      <c r="G53" s="37" t="n">
        <v>2022</v>
      </c>
      <c r="H53" s="37" t="n">
        <v>4</v>
      </c>
      <c r="I53" s="19" t="n">
        <v>-0.0504339666901245</v>
      </c>
      <c r="J53" s="19" t="n">
        <v>-0.0529339666901245</v>
      </c>
      <c r="K53" s="19" t="n">
        <v>0.0333941350822328</v>
      </c>
      <c r="L53" s="19" t="n">
        <v>0.1093725198665864</v>
      </c>
      <c r="M53" s="37" t="n"/>
      <c r="N53" s="37" t="n"/>
      <c r="O53" s="19" t="n">
        <v>0.8333333333333334</v>
      </c>
      <c r="P53" s="19" t="n">
        <v>0.9444444444444444</v>
      </c>
      <c r="Q53" s="37" t="n">
        <v>198.159329034683</v>
      </c>
      <c r="R53" s="37" t="n"/>
      <c r="S53" s="19" t="n">
        <v>0.309167</v>
      </c>
      <c r="T53" s="19" t="n">
        <v>0.051398</v>
      </c>
      <c r="U53" s="19" t="n">
        <v>0.694001351442892</v>
      </c>
      <c r="V53" s="37" t="n">
        <v>0</v>
      </c>
      <c r="W53" s="19" t="n">
        <v>-0.111111111111111</v>
      </c>
      <c r="X53" s="37" t="n">
        <v>0</v>
      </c>
      <c r="Y53" s="19" t="n">
        <v>-0.0171772021138875</v>
      </c>
      <c r="Z53" s="19" t="n">
        <v>0.7876376093247958</v>
      </c>
      <c r="AA53" s="37" t="n">
        <v>-1.34657859044503</v>
      </c>
      <c r="AB53" s="19" t="n">
        <v>-0.2492377931561637</v>
      </c>
      <c r="AC53" s="37" t="n">
        <v>-1.180467583405448</v>
      </c>
      <c r="AD53" s="19" t="n">
        <v>-0.6312185588690208</v>
      </c>
      <c r="AE53" s="19" t="n">
        <v>0.07832892844865209</v>
      </c>
      <c r="AF53" s="19" t="n">
        <v>0.0474794592940647</v>
      </c>
      <c r="AG53" s="19" t="n">
        <v>0.1</v>
      </c>
      <c r="AH53" s="37" t="n">
        <v>0</v>
      </c>
      <c r="AI53" s="37" t="n">
        <v>508</v>
      </c>
      <c r="AJ53" s="37" t="n">
        <v>1.962217851860005</v>
      </c>
    </row>
    <row r="54">
      <c r="A54" s="37" t="n">
        <v>2163</v>
      </c>
      <c r="B54" s="16" t="inlineStr">
        <is>
          <t>严凯</t>
        </is>
      </c>
      <c r="C54" s="16" t="inlineStr">
        <is>
          <t>东方惠新灵活配置混合C</t>
        </is>
      </c>
      <c r="D54" s="16" t="inlineStr">
        <is>
          <t>认知纪律型：认知质量最高</t>
        </is>
      </c>
      <c r="E54" s="37" t="n">
        <v>2163</v>
      </c>
      <c r="F54" s="38" t="n">
        <v>45017</v>
      </c>
      <c r="G54" s="37" t="n">
        <v>2023</v>
      </c>
      <c r="H54" s="37" t="n">
        <v>1</v>
      </c>
      <c r="I54" s="19" t="n">
        <v>-0.0328557312252958</v>
      </c>
      <c r="J54" s="19" t="n">
        <v>-0.0353557312252958</v>
      </c>
      <c r="K54" s="19" t="n">
        <v>0.0333941350822328</v>
      </c>
      <c r="L54" s="19" t="n">
        <v>0.2189579022468215</v>
      </c>
      <c r="M54" s="37" t="n"/>
      <c r="N54" s="37" t="n"/>
      <c r="O54" s="37" t="n"/>
      <c r="P54" s="37" t="n"/>
      <c r="Q54" s="37" t="n">
        <v>198.159329034683</v>
      </c>
      <c r="R54" s="37" t="n"/>
      <c r="S54" s="37" t="n"/>
      <c r="T54" s="37" t="n"/>
      <c r="U54" s="37" t="n"/>
      <c r="V54" s="37" t="n">
        <v>0</v>
      </c>
      <c r="W54" s="37" t="n"/>
      <c r="X54" s="37" t="n">
        <v>0</v>
      </c>
      <c r="Y54" s="19" t="n">
        <v>-0.015079148156344</v>
      </c>
      <c r="Z54" s="37" t="n"/>
      <c r="AA54" s="37" t="n">
        <v>-1.34657859044503</v>
      </c>
      <c r="AB54" s="19" t="n">
        <v>-0.2755115308119236</v>
      </c>
      <c r="AC54" s="37" t="n">
        <v>-1.207236819850198</v>
      </c>
      <c r="AD54" s="19" t="n">
        <v>-0.7436388254114508</v>
      </c>
      <c r="AE54" s="19" t="n">
        <v>0.0665999057578151</v>
      </c>
      <c r="AF54" s="37" t="n"/>
      <c r="AG54" s="19" t="n">
        <v>0.09</v>
      </c>
      <c r="AH54" s="37" t="n">
        <v>0</v>
      </c>
      <c r="AI54" s="37" t="n">
        <v>598</v>
      </c>
      <c r="AJ54" s="37" t="n">
        <v>1.996260473487379</v>
      </c>
    </row>
    <row r="55">
      <c r="A55" s="37" t="n">
        <v>2163</v>
      </c>
      <c r="B55" s="16" t="inlineStr">
        <is>
          <t>严凯</t>
        </is>
      </c>
      <c r="C55" s="16" t="inlineStr">
        <is>
          <t>东方惠新灵活配置混合C</t>
        </is>
      </c>
      <c r="D55" s="16" t="inlineStr">
        <is>
          <t>认知纪律型：认知质量最高</t>
        </is>
      </c>
      <c r="E55" s="37" t="n">
        <v>2163</v>
      </c>
      <c r="F55" s="38" t="n">
        <v>45108</v>
      </c>
      <c r="G55" s="37" t="n">
        <v>2023</v>
      </c>
      <c r="H55" s="37" t="n">
        <v>2</v>
      </c>
      <c r="I55" s="19" t="n">
        <v>-0.0242656449552995</v>
      </c>
      <c r="J55" s="19" t="n">
        <v>-0.0267656449552995</v>
      </c>
      <c r="K55" s="19" t="n">
        <v>0.0333941350822328</v>
      </c>
      <c r="L55" s="19" t="n">
        <v>0.1406896282837568</v>
      </c>
      <c r="M55" s="37" t="n"/>
      <c r="N55" s="37" t="n"/>
      <c r="O55" s="19" t="n">
        <v>0.6666666666666666</v>
      </c>
      <c r="P55" s="19" t="n">
        <v>0.7857142857142857</v>
      </c>
      <c r="Q55" s="37" t="n">
        <v>432.563598230499</v>
      </c>
      <c r="R55" s="37" t="n"/>
      <c r="S55" s="19" t="n">
        <v>0.266124</v>
      </c>
      <c r="T55" s="19" t="n">
        <v>0.050163</v>
      </c>
      <c r="U55" s="19" t="n">
        <v>0.0460669076518253</v>
      </c>
      <c r="V55" s="37" t="n">
        <v>0</v>
      </c>
      <c r="W55" s="19" t="n">
        <v>-0.119047619047619</v>
      </c>
      <c r="X55" s="37" t="n">
        <v>0</v>
      </c>
      <c r="Y55" s="19" t="n">
        <v>-0.015086862130922</v>
      </c>
      <c r="Z55" s="19" t="n">
        <v>0.8108991711210143</v>
      </c>
      <c r="AA55" s="37" t="n">
        <v>-1.34657859044503</v>
      </c>
      <c r="AB55" s="19" t="n">
        <v>-0.1993051775837331</v>
      </c>
      <c r="AC55" s="19" t="n">
        <v>-0.9280301734923516</v>
      </c>
      <c r="AD55" s="19" t="n">
        <v>-0.639640656664666</v>
      </c>
      <c r="AE55" s="19" t="n">
        <v>0.0642921440579427</v>
      </c>
      <c r="AF55" s="19" t="n">
        <v>0.114292990326847</v>
      </c>
      <c r="AG55" s="19" t="n">
        <v>0.1</v>
      </c>
      <c r="AH55" s="37" t="n">
        <v>0</v>
      </c>
      <c r="AI55" s="37" t="n">
        <v>689</v>
      </c>
      <c r="AJ55" s="37" t="n">
        <v>2.029542023903197</v>
      </c>
    </row>
    <row r="56">
      <c r="A56" s="37" t="n">
        <v>2163</v>
      </c>
      <c r="B56" s="16" t="inlineStr">
        <is>
          <t>严凯</t>
        </is>
      </c>
      <c r="C56" s="16" t="inlineStr">
        <is>
          <t>东方惠新灵活配置混合C</t>
        </is>
      </c>
      <c r="D56" s="16" t="inlineStr">
        <is>
          <t>认知纪律型：认知质量最高</t>
        </is>
      </c>
      <c r="E56" s="37" t="n">
        <v>2163</v>
      </c>
      <c r="F56" s="38" t="n">
        <v>45200</v>
      </c>
      <c r="G56" s="37" t="n">
        <v>2023</v>
      </c>
      <c r="H56" s="37" t="n">
        <v>3</v>
      </c>
      <c r="I56" s="19" t="n">
        <v>-0.08926701570680599</v>
      </c>
      <c r="J56" s="19" t="n">
        <v>-0.091767015706806</v>
      </c>
      <c r="K56" s="19" t="n">
        <v>0.0333941350822328</v>
      </c>
      <c r="L56" s="19" t="n">
        <v>0.159243531549647</v>
      </c>
      <c r="M56" s="37" t="n"/>
      <c r="N56" s="37" t="n"/>
      <c r="O56" s="37" t="n"/>
      <c r="P56" s="37" t="n"/>
      <c r="Q56" s="37" t="n">
        <v>432.563598230499</v>
      </c>
      <c r="R56" s="37" t="n"/>
      <c r="S56" s="37" t="n"/>
      <c r="T56" s="37" t="n"/>
      <c r="U56" s="37" t="n"/>
      <c r="V56" s="37" t="n">
        <v>0</v>
      </c>
      <c r="W56" s="37" t="n"/>
      <c r="X56" s="37" t="n">
        <v>0</v>
      </c>
      <c r="Y56" s="37" t="n"/>
      <c r="Z56" s="37" t="n"/>
      <c r="AA56" s="37" t="n">
        <v>-1.34657859044503</v>
      </c>
      <c r="AB56" s="19" t="n">
        <v>-0.2139613491150752</v>
      </c>
      <c r="AC56" s="19" t="n">
        <v>-0.9939188792795004</v>
      </c>
      <c r="AD56" s="19" t="n">
        <v>-0.7238562819057183</v>
      </c>
      <c r="AE56" s="19" t="n">
        <v>0.0623792687008323</v>
      </c>
      <c r="AF56" s="37" t="n"/>
      <c r="AG56" s="19" t="n">
        <v>0.09</v>
      </c>
      <c r="AH56" s="37" t="n">
        <v>0</v>
      </c>
      <c r="AI56" s="37" t="n">
        <v>781</v>
      </c>
      <c r="AJ56" s="37" t="n">
        <v>2.062099747386629</v>
      </c>
    </row>
    <row r="57">
      <c r="A57" s="37" t="n">
        <v>2163</v>
      </c>
      <c r="B57" s="16" t="inlineStr">
        <is>
          <t>严凯</t>
        </is>
      </c>
      <c r="C57" s="16" t="inlineStr">
        <is>
          <t>东方惠新灵活配置混合C</t>
        </is>
      </c>
      <c r="D57" s="16" t="inlineStr">
        <is>
          <t>认知纪律型：认知质量最高</t>
        </is>
      </c>
      <c r="E57" s="37" t="n">
        <v>2163</v>
      </c>
      <c r="F57" s="38" t="n">
        <v>45292</v>
      </c>
      <c r="G57" s="37" t="n">
        <v>2023</v>
      </c>
      <c r="H57" s="37" t="n">
        <v>4</v>
      </c>
      <c r="I57" s="19" t="n">
        <v>0.0678355849381997</v>
      </c>
      <c r="J57" s="19" t="n">
        <v>0.0653355849381997</v>
      </c>
      <c r="K57" s="19" t="n">
        <v>0.0333941350822328</v>
      </c>
      <c r="L57" s="19" t="n">
        <v>0.0419466555093736</v>
      </c>
      <c r="M57" s="37" t="n"/>
      <c r="N57" s="37" t="n"/>
      <c r="O57" s="37" t="n">
        <v>1</v>
      </c>
      <c r="P57" s="37" t="n">
        <v>1</v>
      </c>
      <c r="Q57" s="37" t="n">
        <v>171.819252430537</v>
      </c>
      <c r="R57" s="37" t="n"/>
      <c r="S57" s="19" t="n">
        <v>0.886541</v>
      </c>
      <c r="T57" s="19" t="n">
        <v>0.058049</v>
      </c>
      <c r="U57" s="19" t="n">
        <v>0.3168316831683169</v>
      </c>
      <c r="V57" s="37" t="n">
        <v>0</v>
      </c>
      <c r="W57" s="37" t="n">
        <v>0</v>
      </c>
      <c r="X57" s="37" t="n">
        <v>0</v>
      </c>
      <c r="Y57" s="19" t="n">
        <v>-0.0398749371060494</v>
      </c>
      <c r="Z57" s="19" t="n">
        <v>0.5871533593548968</v>
      </c>
      <c r="AA57" s="37" t="n">
        <v>-1.34657859044503</v>
      </c>
      <c r="AB57" s="19" t="n">
        <v>-0.2628368817929979</v>
      </c>
      <c r="AC57" s="37" t="n">
        <v>-1.350770668471092</v>
      </c>
      <c r="AD57" s="19" t="n">
        <v>-0.9386175278900278</v>
      </c>
      <c r="AE57" s="19" t="n">
        <v>0.07621323878285211</v>
      </c>
      <c r="AF57" s="19" t="n">
        <v>-0.0402146174129638</v>
      </c>
      <c r="AG57" s="19" t="n">
        <v>0.17</v>
      </c>
      <c r="AH57" s="37" t="n">
        <v>0</v>
      </c>
      <c r="AI57" s="37" t="n">
        <v>873</v>
      </c>
      <c r="AJ57" s="37" t="n">
        <v>2.093630803634492</v>
      </c>
    </row>
    <row r="58">
      <c r="A58" s="37" t="n">
        <v>2163</v>
      </c>
      <c r="B58" s="16" t="inlineStr">
        <is>
          <t>严凯</t>
        </is>
      </c>
      <c r="C58" s="16" t="inlineStr">
        <is>
          <t>东方惠新灵活配置混合C</t>
        </is>
      </c>
      <c r="D58" s="16" t="inlineStr">
        <is>
          <t>认知纪律型：认知质量最高</t>
        </is>
      </c>
      <c r="E58" s="37" t="n">
        <v>2163</v>
      </c>
      <c r="F58" s="38" t="n">
        <v>45383</v>
      </c>
      <c r="G58" s="37" t="n">
        <v>2024</v>
      </c>
      <c r="H58" s="37" t="n">
        <v>1</v>
      </c>
      <c r="I58" s="19" t="n">
        <v>-0.13257065948856</v>
      </c>
      <c r="J58" s="19" t="n">
        <v>-0.13507065948856</v>
      </c>
      <c r="K58" s="19" t="n">
        <v>0.0333941350822328</v>
      </c>
      <c r="L58" s="19" t="n">
        <v>0.5108971612533424</v>
      </c>
      <c r="M58" s="37" t="n"/>
      <c r="N58" s="37" t="n"/>
      <c r="O58" s="37" t="n"/>
      <c r="P58" s="37" t="n"/>
      <c r="Q58" s="37" t="n">
        <v>171.819252430537</v>
      </c>
      <c r="R58" s="37" t="n"/>
      <c r="S58" s="37" t="n"/>
      <c r="T58" s="37" t="n"/>
      <c r="U58" s="37" t="n"/>
      <c r="V58" s="37" t="n">
        <v>0</v>
      </c>
      <c r="W58" s="37" t="n"/>
      <c r="X58" s="37" t="n">
        <v>0</v>
      </c>
      <c r="Y58" s="19" t="n">
        <v>-0.0414097300323468</v>
      </c>
      <c r="Z58" s="37" t="n"/>
      <c r="AA58" s="37" t="n">
        <v>-1.34657859044503</v>
      </c>
      <c r="AB58" s="19" t="n">
        <v>-0.2079091969915449</v>
      </c>
      <c r="AC58" s="19" t="n">
        <v>-0.9194913928361336</v>
      </c>
      <c r="AD58" s="19" t="n">
        <v>-0.5646205221778801</v>
      </c>
      <c r="AE58" s="19" t="n">
        <v>0.07745981544988639</v>
      </c>
      <c r="AF58" s="37" t="n"/>
      <c r="AG58" s="19" t="n">
        <v>0.13</v>
      </c>
      <c r="AH58" s="37" t="n">
        <v>0</v>
      </c>
      <c r="AI58" s="37" t="n">
        <v>964</v>
      </c>
      <c r="AJ58" s="37" t="n">
        <v>2.12387068882421</v>
      </c>
    </row>
    <row r="59">
      <c r="A59" s="37" t="n">
        <v>2163</v>
      </c>
      <c r="B59" s="16" t="inlineStr">
        <is>
          <t>严凯</t>
        </is>
      </c>
      <c r="C59" s="16" t="inlineStr">
        <is>
          <t>东方惠新灵活配置混合C</t>
        </is>
      </c>
      <c r="D59" s="16" t="inlineStr">
        <is>
          <t>认知纪律型：认知质量最高</t>
        </is>
      </c>
      <c r="E59" s="37" t="n">
        <v>2163</v>
      </c>
      <c r="F59" s="38" t="n">
        <v>45474</v>
      </c>
      <c r="G59" s="37" t="n">
        <v>2024</v>
      </c>
      <c r="H59" s="37" t="n">
        <v>2</v>
      </c>
      <c r="I59" s="19" t="n">
        <v>0.07664856477889941</v>
      </c>
      <c r="J59" s="19" t="n">
        <v>0.0741485647788994</v>
      </c>
      <c r="K59" s="19" t="n">
        <v>0.0333941350822328</v>
      </c>
      <c r="L59" s="19" t="n">
        <v>0.0944755837147804</v>
      </c>
      <c r="M59" s="37" t="n"/>
      <c r="N59" s="37" t="n"/>
      <c r="O59" s="19" t="n">
        <v>0.2</v>
      </c>
      <c r="P59" s="19" t="n">
        <v>0.6666666666666666</v>
      </c>
      <c r="Q59" s="37" t="n">
        <v>402.62056540572</v>
      </c>
      <c r="R59" s="37" t="n"/>
      <c r="S59" s="19" t="n">
        <v>0.967742</v>
      </c>
      <c r="T59" s="19" t="n">
        <v>0.052218</v>
      </c>
      <c r="U59" s="37" t="n">
        <v>0</v>
      </c>
      <c r="V59" s="37" t="n">
        <v>0</v>
      </c>
      <c r="W59" s="19" t="n">
        <v>-0.4666666666666666</v>
      </c>
      <c r="X59" s="37" t="n">
        <v>0</v>
      </c>
      <c r="Y59" s="19" t="n">
        <v>-0.0398500285823933</v>
      </c>
      <c r="Z59" s="19" t="n">
        <v>0.5631862223559582</v>
      </c>
      <c r="AA59" s="37" t="n">
        <v>-1.34657859044503</v>
      </c>
      <c r="AB59" s="19" t="n">
        <v>-0.2131355176669133</v>
      </c>
      <c r="AC59" s="19" t="n">
        <v>-0.907306613264714</v>
      </c>
      <c r="AD59" s="19" t="n">
        <v>-0.5678655047867611</v>
      </c>
      <c r="AE59" s="19" t="n">
        <v>0.08034825037277089</v>
      </c>
      <c r="AF59" s="19" t="n">
        <v>0.1738671976961703</v>
      </c>
      <c r="AG59" s="19" t="n">
        <v>0.14</v>
      </c>
      <c r="AH59" s="37" t="n">
        <v>0</v>
      </c>
      <c r="AI59" s="37" t="n">
        <v>1055</v>
      </c>
      <c r="AJ59" s="37" t="n">
        <v>2.153222900836738</v>
      </c>
    </row>
    <row r="60">
      <c r="A60" s="37" t="n">
        <v>2163</v>
      </c>
      <c r="B60" s="16" t="inlineStr">
        <is>
          <t>严凯</t>
        </is>
      </c>
      <c r="C60" s="16" t="inlineStr">
        <is>
          <t>东方惠新灵活配置混合C</t>
        </is>
      </c>
      <c r="D60" s="16" t="inlineStr">
        <is>
          <t>认知纪律型：认知质量最高</t>
        </is>
      </c>
      <c r="E60" s="37" t="n">
        <v>2163</v>
      </c>
      <c r="F60" s="38" t="n">
        <v>45566</v>
      </c>
      <c r="G60" s="37" t="n">
        <v>2024</v>
      </c>
      <c r="H60" s="37" t="n">
        <v>3</v>
      </c>
      <c r="I60" s="19" t="n">
        <v>0.1461305663640304</v>
      </c>
      <c r="J60" s="19" t="n">
        <v>0.1436305663640304</v>
      </c>
      <c r="K60" s="19" t="n">
        <v>0.0333941350822328</v>
      </c>
      <c r="L60" s="19" t="n">
        <v>0.3551618104031163</v>
      </c>
      <c r="M60" s="37" t="n"/>
      <c r="N60" s="37" t="n"/>
      <c r="O60" s="37" t="n"/>
      <c r="P60" s="37" t="n"/>
      <c r="Q60" s="37" t="n">
        <v>402.62056540572</v>
      </c>
      <c r="R60" s="37" t="n"/>
      <c r="S60" s="37" t="n"/>
      <c r="T60" s="37" t="n"/>
      <c r="U60" s="37" t="n"/>
      <c r="V60" s="37" t="n">
        <v>0</v>
      </c>
      <c r="W60" s="37" t="n"/>
      <c r="X60" s="37" t="n">
        <v>0</v>
      </c>
      <c r="Y60" s="19" t="n">
        <v>-0.0051218968850462</v>
      </c>
      <c r="Z60" s="37" t="n"/>
      <c r="AA60" s="37" t="n">
        <v>-1.34657859044503</v>
      </c>
      <c r="AB60" s="19" t="n">
        <v>-0.2077697862662723</v>
      </c>
      <c r="AC60" s="19" t="n">
        <v>-0.8699036090964298</v>
      </c>
      <c r="AD60" s="19" t="n">
        <v>-0.5248830859140232</v>
      </c>
      <c r="AE60" s="19" t="n">
        <v>0.0936546294716601</v>
      </c>
      <c r="AF60" s="37" t="n"/>
      <c r="AG60" s="19" t="n">
        <v>0.24</v>
      </c>
      <c r="AH60" s="37" t="n">
        <v>0</v>
      </c>
      <c r="AI60" s="37" t="n">
        <v>1147</v>
      </c>
      <c r="AJ60" s="37" t="n">
        <v>2.182046951456095</v>
      </c>
    </row>
    <row r="61">
      <c r="A61" s="37" t="n">
        <v>2163</v>
      </c>
      <c r="B61" s="16" t="inlineStr">
        <is>
          <t>严凯</t>
        </is>
      </c>
      <c r="C61" s="16" t="inlineStr">
        <is>
          <t>东方惠新灵活配置混合C</t>
        </is>
      </c>
      <c r="D61" s="16" t="inlineStr">
        <is>
          <t>认知纪律型：认知质量最高</t>
        </is>
      </c>
      <c r="E61" s="37" t="n">
        <v>2163</v>
      </c>
      <c r="F61" s="38" t="n">
        <v>45658</v>
      </c>
      <c r="G61" s="37" t="n">
        <v>2024</v>
      </c>
      <c r="H61" s="37" t="n">
        <v>4</v>
      </c>
      <c r="I61" s="19" t="n">
        <v>0.2371432163963278</v>
      </c>
      <c r="J61" s="19" t="n">
        <v>0.2346432163963278</v>
      </c>
      <c r="K61" s="19" t="n">
        <v>0.0333941350822328</v>
      </c>
      <c r="L61" s="19" t="n">
        <v>0.2134200394001888</v>
      </c>
      <c r="M61" s="37" t="n"/>
      <c r="N61" s="37" t="n"/>
      <c r="O61" s="19" t="n">
        <v>0.7894736842105263</v>
      </c>
      <c r="P61" s="37" t="n">
        <v>1</v>
      </c>
      <c r="Q61" s="37" t="n">
        <v>113.964209111565</v>
      </c>
      <c r="R61" s="37" t="n"/>
      <c r="S61" s="19" t="n">
        <v>0.526137</v>
      </c>
      <c r="T61" s="19" t="n">
        <v>0.102577</v>
      </c>
      <c r="U61" s="37" t="n">
        <v>0</v>
      </c>
      <c r="V61" s="37" t="n">
        <v>0</v>
      </c>
      <c r="W61" s="19" t="n">
        <v>-0.2105263157894736</v>
      </c>
      <c r="X61" s="37" t="n">
        <v>-288.656356294155</v>
      </c>
      <c r="Y61" s="19" t="n">
        <v>0.0238509491706217</v>
      </c>
      <c r="Z61" s="19" t="n">
        <v>0.7471555039142639</v>
      </c>
      <c r="AA61" s="37" t="n">
        <v>-1.34657859044503</v>
      </c>
      <c r="AB61" s="19" t="n">
        <v>-0.0749431747402214</v>
      </c>
      <c r="AC61" s="19" t="n">
        <v>-0.1637230753616685</v>
      </c>
      <c r="AD61" s="19" t="n">
        <v>-0.07845087626279949</v>
      </c>
      <c r="AE61" s="19" t="n">
        <v>0.123948149655092</v>
      </c>
      <c r="AF61" s="19" t="n">
        <v>0.0490336362072861</v>
      </c>
      <c r="AG61" s="37" t="n">
        <v>1.51</v>
      </c>
      <c r="AH61" s="19" t="n">
        <v>0.412109650826833</v>
      </c>
      <c r="AI61" s="37" t="n">
        <v>1239</v>
      </c>
      <c r="AJ61" s="37" t="n">
        <v>2.210063400193004</v>
      </c>
    </row>
    <row r="62">
      <c r="A62" s="37" t="n">
        <v>2163</v>
      </c>
      <c r="B62" s="16" t="inlineStr">
        <is>
          <t>严凯</t>
        </is>
      </c>
      <c r="C62" s="16" t="inlineStr">
        <is>
          <t>东方惠新灵活配置混合C</t>
        </is>
      </c>
      <c r="D62" s="16" t="inlineStr">
        <is>
          <t>认知纪律型：认知质量最高</t>
        </is>
      </c>
      <c r="E62" s="37" t="n">
        <v>2163</v>
      </c>
      <c r="F62" s="38" t="n">
        <v>45748</v>
      </c>
      <c r="G62" s="37" t="n">
        <v>2025</v>
      </c>
      <c r="H62" s="37" t="n">
        <v>1</v>
      </c>
      <c r="I62" s="19" t="n">
        <v>0.0767354405935558</v>
      </c>
      <c r="J62" s="19" t="n">
        <v>0.0742354405935558</v>
      </c>
      <c r="K62" s="19" t="n">
        <v>0.0333941350822328</v>
      </c>
      <c r="L62" s="19" t="n">
        <v>0.1953695830190852</v>
      </c>
      <c r="M62" s="37" t="n"/>
      <c r="N62" s="37" t="n"/>
      <c r="O62" s="37" t="n"/>
      <c r="P62" s="37" t="n"/>
      <c r="Q62" s="37" t="n">
        <v>113.964209111565</v>
      </c>
      <c r="R62" s="37" t="n"/>
      <c r="S62" s="37" t="n"/>
      <c r="T62" s="37" t="n"/>
      <c r="U62" s="37" t="n"/>
      <c r="V62" s="37" t="n">
        <v>0</v>
      </c>
      <c r="W62" s="37" t="n"/>
      <c r="X62" s="37" t="n">
        <v>0</v>
      </c>
      <c r="Y62" s="19" t="n">
        <v>0.0201019446098429</v>
      </c>
      <c r="Z62" s="37" t="n"/>
      <c r="AA62" s="37" t="n">
        <v>-1.34657859044503</v>
      </c>
      <c r="AB62" s="19" t="n">
        <v>0.0384920939751129</v>
      </c>
      <c r="AC62" s="19" t="n">
        <v>0.5624287300573992</v>
      </c>
      <c r="AD62" s="19" t="n">
        <v>0.2307405170409665</v>
      </c>
      <c r="AE62" s="19" t="n">
        <v>0.1219092267923874</v>
      </c>
      <c r="AF62" s="37" t="n"/>
      <c r="AG62" s="19" t="n">
        <v>0.79</v>
      </c>
      <c r="AH62" s="37" t="n">
        <v>0</v>
      </c>
      <c r="AI62" s="37" t="n">
        <v>1329</v>
      </c>
      <c r="AJ62" s="37" t="n">
        <v>2.236731647275165</v>
      </c>
    </row>
    <row r="63">
      <c r="A63" s="37" t="n">
        <v>2163</v>
      </c>
      <c r="B63" s="16" t="inlineStr">
        <is>
          <t>严凯</t>
        </is>
      </c>
      <c r="C63" s="16" t="inlineStr">
        <is>
          <t>东方惠新灵活配置混合C</t>
        </is>
      </c>
      <c r="D63" s="16" t="inlineStr">
        <is>
          <t>认知纪律型：认知质量最高</t>
        </is>
      </c>
      <c r="E63" s="37" t="n">
        <v>2163</v>
      </c>
      <c r="F63" s="38" t="n">
        <v>45839</v>
      </c>
      <c r="G63" s="37" t="n">
        <v>2025</v>
      </c>
      <c r="H63" s="37" t="n">
        <v>2</v>
      </c>
      <c r="I63" s="19" t="n">
        <v>0.0038701151595248</v>
      </c>
      <c r="J63" s="19" t="n">
        <v>0.0013701151595248</v>
      </c>
      <c r="K63" s="19" t="n">
        <v>0.0333941350822328</v>
      </c>
      <c r="L63" s="19" t="n">
        <v>0.1456626803625067</v>
      </c>
      <c r="M63" s="37" t="n"/>
      <c r="N63" s="37" t="n"/>
      <c r="O63" s="19" t="n">
        <v>0.3846153846153846</v>
      </c>
      <c r="P63" s="19" t="n">
        <v>0.4</v>
      </c>
      <c r="Q63" s="37" t="n">
        <v>118.694289313159</v>
      </c>
      <c r="R63" s="37" t="n"/>
      <c r="S63" s="19" t="n">
        <v>0.695601</v>
      </c>
      <c r="T63" s="19" t="n">
        <v>0.070741</v>
      </c>
      <c r="U63" s="37" t="n">
        <v>0</v>
      </c>
      <c r="V63" s="37" t="n">
        <v>0</v>
      </c>
      <c r="W63" s="19" t="n">
        <v>-0.0153846153846153</v>
      </c>
      <c r="X63" s="37" t="n">
        <v>4.730080201594006</v>
      </c>
      <c r="Y63" s="19" t="n">
        <v>0.0517042350895998</v>
      </c>
      <c r="Z63" s="19" t="n">
        <v>0.8195521727656071</v>
      </c>
      <c r="AA63" s="37" t="n">
        <v>-1.34657859044503</v>
      </c>
      <c r="AB63" s="19" t="n">
        <v>0.09210952706257131</v>
      </c>
      <c r="AC63" s="19" t="n">
        <v>0.7759311219396549</v>
      </c>
      <c r="AD63" s="19" t="n">
        <v>0.3469692797500773</v>
      </c>
      <c r="AE63" s="19" t="n">
        <v>0.1200234063733845</v>
      </c>
      <c r="AF63" s="19" t="n">
        <v>0.0786756727316547</v>
      </c>
      <c r="AG63" s="19" t="n">
        <v>0.76</v>
      </c>
      <c r="AH63" s="37" t="n">
        <v>0</v>
      </c>
      <c r="AI63" s="37" t="n">
        <v>1420</v>
      </c>
      <c r="AJ63" s="37" t="n">
        <v>2.262991993386947</v>
      </c>
    </row>
    <row r="64">
      <c r="A64" s="37" t="n">
        <v>2163</v>
      </c>
      <c r="B64" s="16" t="inlineStr">
        <is>
          <t>严凯</t>
        </is>
      </c>
      <c r="C64" s="16" t="inlineStr">
        <is>
          <t>东方惠新灵活配置混合C</t>
        </is>
      </c>
      <c r="D64" s="16" t="inlineStr">
        <is>
          <t>认知纪律型：认知质量最高</t>
        </is>
      </c>
      <c r="E64" s="37" t="n">
        <v>2163</v>
      </c>
      <c r="F64" s="38" t="n">
        <v>45931</v>
      </c>
      <c r="G64" s="37" t="n">
        <v>2025</v>
      </c>
      <c r="H64" s="37" t="n">
        <v>3</v>
      </c>
      <c r="I64" s="19" t="n">
        <v>0.4796426892336611</v>
      </c>
      <c r="J64" s="19" t="n">
        <v>0.4771426892336611</v>
      </c>
      <c r="K64" s="19" t="n">
        <v>0.0333941350822328</v>
      </c>
      <c r="L64" s="19" t="n">
        <v>0.4237065495228528</v>
      </c>
      <c r="M64" s="37" t="n"/>
      <c r="N64" s="37" t="n"/>
      <c r="O64" s="37" t="n"/>
      <c r="P64" s="37" t="n"/>
      <c r="Q64" s="37" t="n">
        <v>118.694289313159</v>
      </c>
      <c r="R64" s="37" t="n"/>
      <c r="S64" s="37" t="n"/>
      <c r="T64" s="37" t="n"/>
      <c r="U64" s="37" t="n"/>
      <c r="V64" s="37" t="n">
        <v>0</v>
      </c>
      <c r="W64" s="37" t="n"/>
      <c r="X64" s="37" t="n">
        <v>0</v>
      </c>
      <c r="Y64" s="37" t="n"/>
      <c r="Z64" s="37" t="n"/>
      <c r="AA64" s="37" t="n">
        <v>-1.34657859044503</v>
      </c>
      <c r="AB64" s="19" t="n">
        <v>0.1074413042141621</v>
      </c>
      <c r="AC64" s="37" t="n"/>
      <c r="AD64" s="19" t="n">
        <v>0.381723265600936</v>
      </c>
      <c r="AE64" s="19" t="n">
        <v>0.1802759720444637</v>
      </c>
      <c r="AF64" s="37" t="n"/>
      <c r="AG64" s="19" t="n">
        <v>0.82</v>
      </c>
      <c r="AH64" s="37" t="n">
        <v>0</v>
      </c>
      <c r="AI64" s="37" t="n">
        <v>1512</v>
      </c>
      <c r="AJ64" s="37" t="n">
        <v>2.288857927966608</v>
      </c>
    </row>
    <row r="65">
      <c r="A65" s="37" t="n">
        <v>2163</v>
      </c>
      <c r="B65" s="16" t="inlineStr">
        <is>
          <t>严凯</t>
        </is>
      </c>
      <c r="C65" s="16" t="inlineStr">
        <is>
          <t>东方惠新灵活配置混合C</t>
        </is>
      </c>
      <c r="D65" s="16" t="inlineStr">
        <is>
          <t>认知纪律型：认知质量最高</t>
        </is>
      </c>
      <c r="E65" s="37" t="n">
        <v>2163</v>
      </c>
      <c r="F65" s="38" t="n">
        <v>46023</v>
      </c>
      <c r="G65" s="37" t="n">
        <v>2025</v>
      </c>
      <c r="H65" s="37" t="n">
        <v>4</v>
      </c>
      <c r="I65" s="19" t="n">
        <v>-0.0011438739196745</v>
      </c>
      <c r="J65" s="19" t="n">
        <v>-0.0036438739196745</v>
      </c>
      <c r="K65" s="19" t="n">
        <v>0.0333941350822328</v>
      </c>
      <c r="L65" s="19" t="n">
        <v>0.2302287304343361</v>
      </c>
      <c r="M65" s="37" t="n"/>
      <c r="N65" s="37" t="n"/>
      <c r="O65" s="19" t="n">
        <v>0.5454545454545454</v>
      </c>
      <c r="P65" s="19" t="n">
        <v>0.8571428571428571</v>
      </c>
      <c r="Q65" s="37" t="n"/>
      <c r="R65" s="37" t="n"/>
      <c r="S65" s="19" t="n">
        <v>0.812383</v>
      </c>
      <c r="T65" s="19" t="n">
        <v>0.082359</v>
      </c>
      <c r="U65" s="19" t="n">
        <v>0.0019023462270133</v>
      </c>
      <c r="V65" s="37" t="n">
        <v>0</v>
      </c>
      <c r="W65" s="19" t="n">
        <v>-0.3116883116883117</v>
      </c>
      <c r="X65" s="37" t="n"/>
      <c r="Y65" s="19" t="n">
        <v>0.0902612091287774</v>
      </c>
      <c r="Z65" s="19" t="n">
        <v>0.911373514898566</v>
      </c>
      <c r="AA65" s="37" t="n">
        <v>-1.34657859044503</v>
      </c>
      <c r="AB65" s="19" t="n">
        <v>0.3165433097167192</v>
      </c>
      <c r="AC65" s="37" t="n"/>
      <c r="AD65" s="19" t="n">
        <v>0.6486135585396549</v>
      </c>
      <c r="AE65" s="19" t="n">
        <v>0.1846917161389748</v>
      </c>
      <c r="AF65" s="19" t="n">
        <v>0.1201801630170089</v>
      </c>
      <c r="AG65" s="37" t="n">
        <v>1.41</v>
      </c>
      <c r="AH65" s="19" t="n">
        <v>0.3435897043900768</v>
      </c>
      <c r="AI65" s="37" t="n">
        <v>1604</v>
      </c>
      <c r="AJ65" s="37" t="n">
        <v>2.314071650600817</v>
      </c>
    </row>
    <row r="66">
      <c r="A66" s="37" t="n">
        <v>2163</v>
      </c>
      <c r="B66" s="16" t="inlineStr">
        <is>
          <t>严凯</t>
        </is>
      </c>
      <c r="C66" s="16" t="inlineStr">
        <is>
          <t>东方惠新灵活配置混合C</t>
        </is>
      </c>
      <c r="D66" s="16" t="inlineStr">
        <is>
          <t>认知纪律型：认知质量最高</t>
        </is>
      </c>
      <c r="E66" s="37" t="n">
        <v>2163</v>
      </c>
      <c r="F66" s="38" t="n">
        <v>46113</v>
      </c>
      <c r="G66" s="37" t="n">
        <v>2026</v>
      </c>
      <c r="H66" s="37" t="n">
        <v>1</v>
      </c>
      <c r="I66" s="19" t="n">
        <v>0.07341901005216959</v>
      </c>
      <c r="J66" s="19" t="n">
        <v>0.07091901005216961</v>
      </c>
      <c r="K66" s="19" t="n">
        <v>0.0333941350822328</v>
      </c>
      <c r="L66" s="19" t="n">
        <v>0.3152229506154047</v>
      </c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>
        <v>0</v>
      </c>
      <c r="W66" s="37" t="n"/>
      <c r="X66" s="37" t="n"/>
      <c r="Y66" s="37" t="n"/>
      <c r="Z66" s="37" t="n"/>
      <c r="AA66" s="37" t="n">
        <v>-1.34657859044503</v>
      </c>
      <c r="AB66" s="19" t="n">
        <v>0.2799962856438654</v>
      </c>
      <c r="AC66" s="37" t="n"/>
      <c r="AD66" s="19" t="n">
        <v>0.5864204938581162</v>
      </c>
      <c r="AE66" s="19" t="n">
        <v>0.158402027263194</v>
      </c>
      <c r="AF66" s="37" t="n"/>
      <c r="AG66" s="37" t="n">
        <v>2.64</v>
      </c>
      <c r="AH66" s="19" t="n">
        <v>0.9707789171582248</v>
      </c>
      <c r="AI66" s="37" t="n">
        <v>1694</v>
      </c>
      <c r="AJ66" s="37" t="n">
        <v>2.338136983090064</v>
      </c>
    </row>
    <row r="67">
      <c r="A67" s="37" t="n">
        <v>2163</v>
      </c>
      <c r="B67" s="16" t="inlineStr">
        <is>
          <t>严凯</t>
        </is>
      </c>
      <c r="C67" s="16" t="inlineStr">
        <is>
          <t>东方惠新灵活配置混合C</t>
        </is>
      </c>
      <c r="D67" s="16" t="inlineStr">
        <is>
          <t>认知纪律型：认知质量最高</t>
        </is>
      </c>
      <c r="E67" s="37" t="n">
        <v>2163</v>
      </c>
      <c r="F67" s="38" t="n">
        <v>46204</v>
      </c>
      <c r="G67" s="37" t="n">
        <v>2026</v>
      </c>
      <c r="H67" s="37" t="n">
        <v>2</v>
      </c>
      <c r="I67" s="37" t="n">
        <v>1.485893788525366</v>
      </c>
      <c r="J67" s="37" t="n"/>
      <c r="K67" s="19" t="n">
        <v>0.0333941350822328</v>
      </c>
      <c r="L67" s="19" t="n">
        <v>0.9361436346124492</v>
      </c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>
        <v>0</v>
      </c>
      <c r="W67" s="37" t="n"/>
      <c r="X67" s="37" t="n"/>
      <c r="Y67" s="37" t="n"/>
      <c r="Z67" s="37" t="n"/>
      <c r="AA67" s="37" t="n">
        <v>-1.34657859044503</v>
      </c>
      <c r="AB67" s="19" t="n">
        <v>0.4179164930342208</v>
      </c>
      <c r="AC67" s="37" t="n"/>
      <c r="AD67" s="19" t="n">
        <v>0.8463005076290508</v>
      </c>
      <c r="AE67" s="19" t="n">
        <v>0.4992159953471539</v>
      </c>
      <c r="AF67" s="37" t="n"/>
      <c r="AG67" s="37" t="n">
        <v>34.67</v>
      </c>
      <c r="AH67" s="37" t="n">
        <v>3.545874759696932</v>
      </c>
      <c r="AI67" s="37" t="n">
        <v>1785</v>
      </c>
      <c r="AJ67" s="37" t="n">
        <v>2.361894790229172</v>
      </c>
    </row>
    <row r="68">
      <c r="A68" s="37" t="n">
        <v>16371</v>
      </c>
      <c r="B68" s="16" t="inlineStr">
        <is>
          <t>童昌希</t>
        </is>
      </c>
      <c r="C68" s="16" t="inlineStr">
        <is>
          <t>信澳业绩驱动混合C</t>
        </is>
      </c>
      <c r="D68" s="16" t="inlineStr">
        <is>
          <t>攻守转换型：操作质量最高</t>
        </is>
      </c>
      <c r="E68" s="37" t="n">
        <v>16371</v>
      </c>
      <c r="F68" s="38" t="n">
        <v>44835</v>
      </c>
      <c r="G68" s="37" t="n">
        <v>2022</v>
      </c>
      <c r="H68" s="37" t="n">
        <v>3</v>
      </c>
      <c r="I68" s="19" t="n">
        <v>-0.0033</v>
      </c>
      <c r="J68" s="19" t="n">
        <v>-0.0058</v>
      </c>
      <c r="K68" s="19" t="n">
        <v>0.0667092488602562</v>
      </c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>
        <v>2.566757422320225</v>
      </c>
      <c r="AB68" s="37" t="n"/>
      <c r="AC68" s="37" t="n"/>
      <c r="AD68" s="37" t="n"/>
      <c r="AE68" s="37" t="n"/>
      <c r="AF68" s="37" t="n"/>
      <c r="AG68" s="37" t="n">
        <v>1.32</v>
      </c>
      <c r="AH68" s="19" t="n">
        <v>0.2776317365982795</v>
      </c>
      <c r="AI68" s="37" t="n">
        <v>37</v>
      </c>
      <c r="AJ68" s="37" t="n">
        <v>-2.289746270137261</v>
      </c>
    </row>
    <row r="69">
      <c r="A69" s="37" t="n">
        <v>16371</v>
      </c>
      <c r="B69" s="16" t="inlineStr">
        <is>
          <t>童昌希</t>
        </is>
      </c>
      <c r="C69" s="16" t="inlineStr">
        <is>
          <t>信澳业绩驱动混合C</t>
        </is>
      </c>
      <c r="D69" s="16" t="inlineStr">
        <is>
          <t>攻守转换型：操作质量最高</t>
        </is>
      </c>
      <c r="E69" s="37" t="n">
        <v>16371</v>
      </c>
      <c r="F69" s="38" t="n">
        <v>44927</v>
      </c>
      <c r="G69" s="37" t="n">
        <v>2022</v>
      </c>
      <c r="H69" s="37" t="n">
        <v>4</v>
      </c>
      <c r="I69" s="19" t="n">
        <v>-0.0630079261563154</v>
      </c>
      <c r="J69" s="19" t="n">
        <v>-0.0655079261563154</v>
      </c>
      <c r="K69" s="19" t="n">
        <v>0.0667092488602562</v>
      </c>
      <c r="L69" s="37" t="n"/>
      <c r="M69" s="37" t="n"/>
      <c r="N69" s="37" t="n"/>
      <c r="O69" s="37" t="n"/>
      <c r="P69" s="37" t="n"/>
      <c r="Q69" s="37" t="n">
        <v>299.975154053228</v>
      </c>
      <c r="R69" s="37" t="n"/>
      <c r="S69" s="19" t="n">
        <v>0.224314</v>
      </c>
      <c r="T69" s="19" t="n">
        <v>0.125174</v>
      </c>
      <c r="U69" s="37" t="n"/>
      <c r="V69" s="37" t="n"/>
      <c r="W69" s="37" t="n"/>
      <c r="X69" s="37" t="n"/>
      <c r="Y69" s="37" t="n"/>
      <c r="Z69" s="19" t="n">
        <v>0.6707725762950548</v>
      </c>
      <c r="AA69" s="37" t="n">
        <v>2.566757422320225</v>
      </c>
      <c r="AB69" s="37" t="n"/>
      <c r="AC69" s="37" t="n"/>
      <c r="AD69" s="37" t="n"/>
      <c r="AE69" s="37" t="n"/>
      <c r="AF69" s="37" t="n"/>
      <c r="AG69" s="19" t="n">
        <v>0.25</v>
      </c>
      <c r="AH69" s="37" t="n">
        <v>0</v>
      </c>
      <c r="AI69" s="37" t="n">
        <v>129</v>
      </c>
      <c r="AJ69" s="37" t="n">
        <v>-1.040851778419813</v>
      </c>
    </row>
    <row r="70">
      <c r="A70" s="37" t="n">
        <v>16371</v>
      </c>
      <c r="B70" s="16" t="inlineStr">
        <is>
          <t>童昌希</t>
        </is>
      </c>
      <c r="C70" s="16" t="inlineStr">
        <is>
          <t>信澳业绩驱动混合C</t>
        </is>
      </c>
      <c r="D70" s="16" t="inlineStr">
        <is>
          <t>攻守转换型：操作质量最高</t>
        </is>
      </c>
      <c r="E70" s="37" t="n">
        <v>16371</v>
      </c>
      <c r="F70" s="38" t="n">
        <v>45017</v>
      </c>
      <c r="G70" s="37" t="n">
        <v>2023</v>
      </c>
      <c r="H70" s="37" t="n">
        <v>1</v>
      </c>
      <c r="I70" s="19" t="n">
        <v>-0.0977620730270909</v>
      </c>
      <c r="J70" s="19" t="n">
        <v>-0.1002620730270909</v>
      </c>
      <c r="K70" s="19" t="n">
        <v>0.0667092488602562</v>
      </c>
      <c r="L70" s="19" t="n">
        <v>0.1799762507704575</v>
      </c>
      <c r="M70" s="37" t="n"/>
      <c r="N70" s="37" t="n"/>
      <c r="O70" s="37" t="n"/>
      <c r="P70" s="37" t="n"/>
      <c r="Q70" s="37" t="n">
        <v>299.975154053228</v>
      </c>
      <c r="R70" s="37" t="n"/>
      <c r="S70" s="19" t="n">
        <v>0.587311</v>
      </c>
      <c r="T70" s="19" t="n">
        <v>0.106153</v>
      </c>
      <c r="U70" s="19" t="n">
        <v>0.7770424266189733</v>
      </c>
      <c r="V70" s="37" t="n"/>
      <c r="W70" s="37" t="n"/>
      <c r="X70" s="37" t="n">
        <v>0</v>
      </c>
      <c r="Y70" s="37" t="n"/>
      <c r="Z70" s="19" t="n">
        <v>0.8631912962352791</v>
      </c>
      <c r="AA70" s="37" t="n">
        <v>2.566757422320225</v>
      </c>
      <c r="AB70" s="37" t="n"/>
      <c r="AC70" s="37" t="n"/>
      <c r="AD70" s="37" t="n"/>
      <c r="AE70" s="19" t="n">
        <v>0.0477772093701221</v>
      </c>
      <c r="AF70" s="19" t="n">
        <v>0.0228669878683339</v>
      </c>
      <c r="AG70" s="19" t="n">
        <v>0.22</v>
      </c>
      <c r="AH70" s="37" t="n">
        <v>0</v>
      </c>
      <c r="AI70" s="37" t="n">
        <v>219</v>
      </c>
      <c r="AJ70" s="19" t="n">
        <v>-0.5115924529649846</v>
      </c>
    </row>
    <row r="71">
      <c r="A71" s="37" t="n">
        <v>16371</v>
      </c>
      <c r="B71" s="16" t="inlineStr">
        <is>
          <t>童昌希</t>
        </is>
      </c>
      <c r="C71" s="16" t="inlineStr">
        <is>
          <t>信澳业绩驱动混合C</t>
        </is>
      </c>
      <c r="D71" s="16" t="inlineStr">
        <is>
          <t>攻守转换型：操作质量最高</t>
        </is>
      </c>
      <c r="E71" s="37" t="n">
        <v>16371</v>
      </c>
      <c r="F71" s="38" t="n">
        <v>45108</v>
      </c>
      <c r="G71" s="37" t="n">
        <v>2023</v>
      </c>
      <c r="H71" s="37" t="n">
        <v>2</v>
      </c>
      <c r="I71" s="19" t="n">
        <v>-0.1329219083788271</v>
      </c>
      <c r="J71" s="19" t="n">
        <v>-0.1354219083788271</v>
      </c>
      <c r="K71" s="19" t="n">
        <v>0.0667092488602562</v>
      </c>
      <c r="L71" s="19" t="n">
        <v>0.1666698710530701</v>
      </c>
      <c r="M71" s="37" t="n"/>
      <c r="N71" s="37" t="n"/>
      <c r="O71" s="37" t="n">
        <v>1</v>
      </c>
      <c r="P71" s="19" t="n">
        <v>0.7142857142857143</v>
      </c>
      <c r="Q71" s="37" t="n">
        <v>408.136402905653</v>
      </c>
      <c r="R71" s="37" t="n"/>
      <c r="S71" s="19" t="n">
        <v>0.246043</v>
      </c>
      <c r="T71" s="19" t="n">
        <v>0.050111</v>
      </c>
      <c r="U71" s="19" t="n">
        <v>0.710239797831856</v>
      </c>
      <c r="V71" s="37" t="n"/>
      <c r="W71" s="19" t="n">
        <v>0.2857142857142857</v>
      </c>
      <c r="X71" s="37" t="n">
        <v>0</v>
      </c>
      <c r="Y71" s="37" t="n"/>
      <c r="Z71" s="19" t="n">
        <v>0.8306232352600984</v>
      </c>
      <c r="AA71" s="37" t="n">
        <v>2.566757422320225</v>
      </c>
      <c r="AB71" s="37" t="n"/>
      <c r="AC71" s="37" t="n"/>
      <c r="AD71" s="37" t="n"/>
      <c r="AE71" s="19" t="n">
        <v>0.0552433921200225</v>
      </c>
      <c r="AF71" s="19" t="n">
        <v>0.0521803934878444</v>
      </c>
      <c r="AG71" s="19" t="n">
        <v>0.17</v>
      </c>
      <c r="AH71" s="37" t="n">
        <v>0</v>
      </c>
      <c r="AI71" s="37" t="n">
        <v>310</v>
      </c>
      <c r="AJ71" s="19" t="n">
        <v>-0.1640918853022934</v>
      </c>
    </row>
    <row r="72">
      <c r="A72" s="37" t="n">
        <v>16371</v>
      </c>
      <c r="B72" s="16" t="inlineStr">
        <is>
          <t>童昌希</t>
        </is>
      </c>
      <c r="C72" s="16" t="inlineStr">
        <is>
          <t>信澳业绩驱动混合C</t>
        </is>
      </c>
      <c r="D72" s="16" t="inlineStr">
        <is>
          <t>攻守转换型：操作质量最高</t>
        </is>
      </c>
      <c r="E72" s="37" t="n">
        <v>16371</v>
      </c>
      <c r="F72" s="38" t="n">
        <v>45200</v>
      </c>
      <c r="G72" s="37" t="n">
        <v>2023</v>
      </c>
      <c r="H72" s="37" t="n">
        <v>3</v>
      </c>
      <c r="I72" s="19" t="n">
        <v>-0.1683547768957026</v>
      </c>
      <c r="J72" s="19" t="n">
        <v>-0.1708547768957026</v>
      </c>
      <c r="K72" s="19" t="n">
        <v>0.0667092488602562</v>
      </c>
      <c r="L72" s="19" t="n">
        <v>0.08537177226930751</v>
      </c>
      <c r="M72" s="37" t="n"/>
      <c r="N72" s="37" t="n"/>
      <c r="O72" s="37" t="n"/>
      <c r="P72" s="37" t="n"/>
      <c r="Q72" s="37" t="n">
        <v>408.136402905653</v>
      </c>
      <c r="R72" s="37" t="n"/>
      <c r="S72" s="19" t="n">
        <v>0.365763</v>
      </c>
      <c r="T72" s="19" t="n">
        <v>0.112035</v>
      </c>
      <c r="U72" s="19" t="n">
        <v>0.502605976698311</v>
      </c>
      <c r="V72" s="37" t="n"/>
      <c r="W72" s="37" t="n"/>
      <c r="X72" s="37" t="n">
        <v>0</v>
      </c>
      <c r="Y72" s="37" t="n"/>
      <c r="Z72" s="19" t="n">
        <v>0.7850250185991327</v>
      </c>
      <c r="AA72" s="37" t="n">
        <v>2.566757422320225</v>
      </c>
      <c r="AB72" s="19" t="n">
        <v>-0.3343073897645074</v>
      </c>
      <c r="AC72" s="37" t="n">
        <v>-1.389269810293594</v>
      </c>
      <c r="AD72" s="37" t="n">
        <v>-1.389269810293594</v>
      </c>
      <c r="AE72" s="19" t="n">
        <v>0.06371885310594159</v>
      </c>
      <c r="AF72" s="19" t="n">
        <v>0.0334195573320996</v>
      </c>
      <c r="AG72" s="19" t="n">
        <v>0.13</v>
      </c>
      <c r="AH72" s="37" t="n">
        <v>0</v>
      </c>
      <c r="AI72" s="37" t="n">
        <v>402</v>
      </c>
      <c r="AJ72" s="19" t="n">
        <v>0.0957879058375356</v>
      </c>
    </row>
    <row r="73">
      <c r="A73" s="37" t="n">
        <v>16371</v>
      </c>
      <c r="B73" s="16" t="inlineStr">
        <is>
          <t>童昌希</t>
        </is>
      </c>
      <c r="C73" s="16" t="inlineStr">
        <is>
          <t>信澳业绩驱动混合C</t>
        </is>
      </c>
      <c r="D73" s="16" t="inlineStr">
        <is>
          <t>攻守转换型：操作质量最高</t>
        </is>
      </c>
      <c r="E73" s="37" t="n">
        <v>16371</v>
      </c>
      <c r="F73" s="38" t="n">
        <v>45292</v>
      </c>
      <c r="G73" s="37" t="n">
        <v>2023</v>
      </c>
      <c r="H73" s="37" t="n">
        <v>4</v>
      </c>
      <c r="I73" s="19" t="n">
        <v>-0.07620144832126299</v>
      </c>
      <c r="J73" s="19" t="n">
        <v>-0.078701448321263</v>
      </c>
      <c r="K73" s="19" t="n">
        <v>0.0667092488602562</v>
      </c>
      <c r="L73" s="19" t="n">
        <v>0.092656618560744</v>
      </c>
      <c r="M73" s="37" t="n"/>
      <c r="N73" s="37" t="n"/>
      <c r="O73" s="37" t="n">
        <v>1</v>
      </c>
      <c r="P73" s="19" t="n">
        <v>0.8461538461538461</v>
      </c>
      <c r="Q73" s="37" t="n">
        <v>224.321661922396</v>
      </c>
      <c r="R73" s="37" t="n"/>
      <c r="S73" s="19" t="n">
        <v>0.164629</v>
      </c>
      <c r="T73" s="19" t="n">
        <v>0.047528</v>
      </c>
      <c r="U73" s="37" t="n">
        <v>1.185823432876487</v>
      </c>
      <c r="V73" s="37" t="n"/>
      <c r="W73" s="19" t="n">
        <v>0.1538461538461538</v>
      </c>
      <c r="X73" s="37" t="n">
        <v>0</v>
      </c>
      <c r="Y73" s="37" t="n"/>
      <c r="Z73" s="19" t="n">
        <v>0.7942817628044548</v>
      </c>
      <c r="AA73" s="37" t="n">
        <v>2.566757422320225</v>
      </c>
      <c r="AB73" s="19" t="n">
        <v>-0.424030543190309</v>
      </c>
      <c r="AC73" s="37" t="n">
        <v>-1.499859652726166</v>
      </c>
      <c r="AD73" s="37" t="n">
        <v>-1.499859652726166</v>
      </c>
      <c r="AE73" s="19" t="n">
        <v>0.0574063997917137</v>
      </c>
      <c r="AF73" s="19" t="n">
        <v>0.0556768433865848</v>
      </c>
      <c r="AG73" s="19" t="n">
        <v>0.11</v>
      </c>
      <c r="AH73" s="37" t="n">
        <v>0</v>
      </c>
      <c r="AI73" s="37" t="n">
        <v>494</v>
      </c>
      <c r="AJ73" s="19" t="n">
        <v>0.301871334406437</v>
      </c>
    </row>
    <row r="74">
      <c r="A74" s="37" t="n">
        <v>16371</v>
      </c>
      <c r="B74" s="16" t="inlineStr">
        <is>
          <t>童昌希</t>
        </is>
      </c>
      <c r="C74" s="16" t="inlineStr">
        <is>
          <t>信澳业绩驱动混合C</t>
        </is>
      </c>
      <c r="D74" s="16" t="inlineStr">
        <is>
          <t>攻守转换型：操作质量最高</t>
        </is>
      </c>
      <c r="E74" s="37" t="n">
        <v>16371</v>
      </c>
      <c r="F74" s="38" t="n">
        <v>45383</v>
      </c>
      <c r="G74" s="37" t="n">
        <v>2024</v>
      </c>
      <c r="H74" s="37" t="n">
        <v>1</v>
      </c>
      <c r="I74" s="19" t="n">
        <v>-0.0965615535364332</v>
      </c>
      <c r="J74" s="19" t="n">
        <v>-0.0990615535364332</v>
      </c>
      <c r="K74" s="19" t="n">
        <v>0.0667092488602562</v>
      </c>
      <c r="L74" s="19" t="n">
        <v>0.5124134588893079</v>
      </c>
      <c r="M74" s="37" t="n"/>
      <c r="N74" s="37" t="n"/>
      <c r="O74" s="37" t="n"/>
      <c r="P74" s="37" t="n"/>
      <c r="Q74" s="37" t="n">
        <v>224.321661922396</v>
      </c>
      <c r="R74" s="37" t="n"/>
      <c r="S74" s="19" t="n">
        <v>0.23726</v>
      </c>
      <c r="T74" s="19" t="n">
        <v>0.10733</v>
      </c>
      <c r="U74" s="19" t="n">
        <v>0.1220422042021329</v>
      </c>
      <c r="V74" s="37" t="n"/>
      <c r="W74" s="37" t="n"/>
      <c r="X74" s="37" t="n">
        <v>0</v>
      </c>
      <c r="Y74" s="37" t="n"/>
      <c r="Z74" s="19" t="n">
        <v>0.8960297964794873</v>
      </c>
      <c r="AA74" s="37" t="n">
        <v>2.566757422320225</v>
      </c>
      <c r="AB74" s="19" t="n">
        <v>-0.4081873834514911</v>
      </c>
      <c r="AC74" s="37" t="n">
        <v>-1.615813262396148</v>
      </c>
      <c r="AD74" s="37" t="n">
        <v>-1.615813262396148</v>
      </c>
      <c r="AE74" s="19" t="n">
        <v>0.0524587644966827</v>
      </c>
      <c r="AF74" s="19" t="n">
        <v>0.1089427158045998</v>
      </c>
      <c r="AG74" s="19" t="n">
        <v>0.09</v>
      </c>
      <c r="AH74" s="37" t="n">
        <v>0</v>
      </c>
      <c r="AI74" s="37" t="n">
        <v>585</v>
      </c>
      <c r="AJ74" s="19" t="n">
        <v>0.4709476644503709</v>
      </c>
    </row>
    <row r="75">
      <c r="A75" s="37" t="n">
        <v>16371</v>
      </c>
      <c r="B75" s="16" t="inlineStr">
        <is>
          <t>童昌希</t>
        </is>
      </c>
      <c r="C75" s="16" t="inlineStr">
        <is>
          <t>信澳业绩驱动混合C</t>
        </is>
      </c>
      <c r="D75" s="16" t="inlineStr">
        <is>
          <t>攻守转换型：操作质量最高</t>
        </is>
      </c>
      <c r="E75" s="37" t="n">
        <v>16371</v>
      </c>
      <c r="F75" s="38" t="n">
        <v>45474</v>
      </c>
      <c r="G75" s="37" t="n">
        <v>2024</v>
      </c>
      <c r="H75" s="37" t="n">
        <v>2</v>
      </c>
      <c r="I75" s="19" t="n">
        <v>0.0936698875961352</v>
      </c>
      <c r="J75" s="19" t="n">
        <v>0.0911698875961352</v>
      </c>
      <c r="K75" s="19" t="n">
        <v>0.0667092488602562</v>
      </c>
      <c r="L75" s="19" t="n">
        <v>0.2118782322743145</v>
      </c>
      <c r="M75" s="37" t="n"/>
      <c r="N75" s="37" t="n"/>
      <c r="O75" s="19" t="n">
        <v>0.3333333333333333</v>
      </c>
      <c r="P75" s="37" t="n">
        <v>1</v>
      </c>
      <c r="Q75" s="37" t="n">
        <v>202.099894875778</v>
      </c>
      <c r="R75" s="37" t="n"/>
      <c r="S75" s="19" t="n">
        <v>0.257995</v>
      </c>
      <c r="T75" s="19" t="n">
        <v>0.090264</v>
      </c>
      <c r="U75" s="19" t="n">
        <v>0.1610794211094026</v>
      </c>
      <c r="V75" s="37" t="n"/>
      <c r="W75" s="19" t="n">
        <v>-0.6666666666666667</v>
      </c>
      <c r="X75" s="37" t="n">
        <v>0</v>
      </c>
      <c r="Y75" s="37" t="n"/>
      <c r="Z75" s="19" t="n">
        <v>0.9588665452481392</v>
      </c>
      <c r="AA75" s="37" t="n">
        <v>2.566757422320225</v>
      </c>
      <c r="AB75" s="19" t="n">
        <v>-0.4093306726923719</v>
      </c>
      <c r="AC75" s="37" t="n">
        <v>-1.785374236605236</v>
      </c>
      <c r="AD75" s="37" t="n">
        <v>-1.785374236605236</v>
      </c>
      <c r="AE75" s="19" t="n">
        <v>0.0814185672909085</v>
      </c>
      <c r="AF75" s="19" t="n">
        <v>0.2494390575131115</v>
      </c>
      <c r="AG75" s="19" t="n">
        <v>0.1</v>
      </c>
      <c r="AH75" s="37" t="n">
        <v>0</v>
      </c>
      <c r="AI75" s="37" t="n">
        <v>676</v>
      </c>
      <c r="AJ75" s="19" t="n">
        <v>0.6155288932614787</v>
      </c>
    </row>
    <row r="76">
      <c r="A76" s="37" t="n">
        <v>16371</v>
      </c>
      <c r="B76" s="16" t="inlineStr">
        <is>
          <t>童昌希</t>
        </is>
      </c>
      <c r="C76" s="16" t="inlineStr">
        <is>
          <t>信澳业绩驱动混合C</t>
        </is>
      </c>
      <c r="D76" s="16" t="inlineStr">
        <is>
          <t>攻守转换型：操作质量最高</t>
        </is>
      </c>
      <c r="E76" s="37" t="n">
        <v>16371</v>
      </c>
      <c r="F76" s="38" t="n">
        <v>45566</v>
      </c>
      <c r="G76" s="37" t="n">
        <v>2024</v>
      </c>
      <c r="H76" s="37" t="n">
        <v>3</v>
      </c>
      <c r="I76" s="19" t="n">
        <v>0.0584204832311561</v>
      </c>
      <c r="J76" s="19" t="n">
        <v>0.0559204832311561</v>
      </c>
      <c r="K76" s="19" t="n">
        <v>0.0667092488602562</v>
      </c>
      <c r="L76" s="19" t="n">
        <v>0.3698418210034923</v>
      </c>
      <c r="M76" s="37" t="n"/>
      <c r="N76" s="37" t="n"/>
      <c r="O76" s="37" t="n"/>
      <c r="P76" s="37" t="n"/>
      <c r="Q76" s="37" t="n">
        <v>202.099894875778</v>
      </c>
      <c r="R76" s="37" t="n"/>
      <c r="S76" s="19" t="n">
        <v>0.425567</v>
      </c>
      <c r="T76" s="19" t="n">
        <v>0.116037</v>
      </c>
      <c r="U76" s="19" t="n">
        <v>0.2961063184891583</v>
      </c>
      <c r="V76" s="37" t="n"/>
      <c r="W76" s="37" t="n"/>
      <c r="X76" s="37" t="n">
        <v>0</v>
      </c>
      <c r="Y76" s="19" t="n">
        <v>-0.0177445194170579</v>
      </c>
      <c r="Z76" s="19" t="n">
        <v>0.9511498222289432</v>
      </c>
      <c r="AA76" s="37" t="n">
        <v>2.566757422320225</v>
      </c>
      <c r="AB76" s="19" t="n">
        <v>-0.3289147397593067</v>
      </c>
      <c r="AC76" s="37" t="n">
        <v>-1.344960666094198</v>
      </c>
      <c r="AD76" s="19" t="n">
        <v>-0.8665710683392917</v>
      </c>
      <c r="AE76" s="19" t="n">
        <v>0.0908134187452614</v>
      </c>
      <c r="AF76" s="19" t="n">
        <v>0.126616078654312</v>
      </c>
      <c r="AG76" s="19" t="n">
        <v>0.13</v>
      </c>
      <c r="AH76" s="37" t="n">
        <v>0</v>
      </c>
      <c r="AI76" s="37" t="n">
        <v>768</v>
      </c>
      <c r="AJ76" s="19" t="n">
        <v>0.7431255503661868</v>
      </c>
    </row>
    <row r="77">
      <c r="A77" s="37" t="n">
        <v>16371</v>
      </c>
      <c r="B77" s="16" t="inlineStr">
        <is>
          <t>童昌希</t>
        </is>
      </c>
      <c r="C77" s="16" t="inlineStr">
        <is>
          <t>信澳业绩驱动混合C</t>
        </is>
      </c>
      <c r="D77" s="16" t="inlineStr">
        <is>
          <t>攻守转换型：操作质量最高</t>
        </is>
      </c>
      <c r="E77" s="37" t="n">
        <v>16371</v>
      </c>
      <c r="F77" s="38" t="n">
        <v>45658</v>
      </c>
      <c r="G77" s="37" t="n">
        <v>2024</v>
      </c>
      <c r="H77" s="37" t="n">
        <v>4</v>
      </c>
      <c r="I77" s="19" t="n">
        <v>0.2197614991482124</v>
      </c>
      <c r="J77" s="19" t="n">
        <v>0.2172614991482124</v>
      </c>
      <c r="K77" s="19" t="n">
        <v>0.0667092488602562</v>
      </c>
      <c r="L77" s="19" t="n">
        <v>0.3538747138564365</v>
      </c>
      <c r="M77" s="37" t="n"/>
      <c r="N77" s="37" t="n"/>
      <c r="O77" s="19" t="n">
        <v>0.1818181818181818</v>
      </c>
      <c r="P77" s="19" t="n">
        <v>0.8571428571428571</v>
      </c>
      <c r="Q77" s="37" t="n">
        <v>374.206661320465</v>
      </c>
      <c r="R77" s="37" t="n"/>
      <c r="S77" s="19" t="n">
        <v>0.319467</v>
      </c>
      <c r="T77" s="19" t="n">
        <v>0.08524900000000001</v>
      </c>
      <c r="U77" s="37" t="n">
        <v>0</v>
      </c>
      <c r="V77" s="37" t="n">
        <v>0</v>
      </c>
      <c r="W77" s="19" t="n">
        <v>-0.6753246753246753</v>
      </c>
      <c r="X77" s="37" t="n">
        <v>172.106766444687</v>
      </c>
      <c r="Y77" s="19" t="n">
        <v>0.0366767874652996</v>
      </c>
      <c r="Z77" s="19" t="n">
        <v>0.950725935471604</v>
      </c>
      <c r="AA77" s="37" t="n">
        <v>2.566757422320225</v>
      </c>
      <c r="AB77" s="19" t="n">
        <v>-0.3044715294235905</v>
      </c>
      <c r="AC77" s="37" t="n">
        <v>-1.621882769431911</v>
      </c>
      <c r="AD77" s="19" t="n">
        <v>-0.6919672808741331</v>
      </c>
      <c r="AE77" s="19" t="n">
        <v>0.1342622190708977</v>
      </c>
      <c r="AF77" s="19" t="n">
        <v>0.1210236974018044</v>
      </c>
      <c r="AG77" s="19" t="n">
        <v>0.36</v>
      </c>
      <c r="AH77" s="37" t="n">
        <v>0</v>
      </c>
      <c r="AI77" s="37" t="n">
        <v>860</v>
      </c>
      <c r="AJ77" s="19" t="n">
        <v>0.8562682064660679</v>
      </c>
    </row>
    <row r="78">
      <c r="A78" s="37" t="n">
        <v>16371</v>
      </c>
      <c r="B78" s="16" t="inlineStr">
        <is>
          <t>童昌希</t>
        </is>
      </c>
      <c r="C78" s="16" t="inlineStr">
        <is>
          <t>信澳业绩驱动混合C</t>
        </is>
      </c>
      <c r="D78" s="16" t="inlineStr">
        <is>
          <t>攻守转换型：操作质量最高</t>
        </is>
      </c>
      <c r="E78" s="37" t="n">
        <v>16371</v>
      </c>
      <c r="F78" s="38" t="n">
        <v>45748</v>
      </c>
      <c r="G78" s="37" t="n">
        <v>2025</v>
      </c>
      <c r="H78" s="37" t="n">
        <v>1</v>
      </c>
      <c r="I78" s="19" t="n">
        <v>-0.0195530726256983</v>
      </c>
      <c r="J78" s="19" t="n">
        <v>-0.0220530726256983</v>
      </c>
      <c r="K78" s="19" t="n">
        <v>0.0667092488602562</v>
      </c>
      <c r="L78" s="19" t="n">
        <v>0.1647986208256575</v>
      </c>
      <c r="M78" s="37" t="n"/>
      <c r="N78" s="37" t="n"/>
      <c r="O78" s="37" t="n"/>
      <c r="P78" s="37" t="n"/>
      <c r="Q78" s="37" t="n">
        <v>374.206661320465</v>
      </c>
      <c r="R78" s="37" t="n"/>
      <c r="S78" s="19" t="n">
        <v>0.239138</v>
      </c>
      <c r="T78" s="19" t="n">
        <v>0.105735</v>
      </c>
      <c r="U78" s="37" t="n">
        <v>0</v>
      </c>
      <c r="V78" s="37" t="n">
        <v>0</v>
      </c>
      <c r="W78" s="37" t="n"/>
      <c r="X78" s="37" t="n">
        <v>0</v>
      </c>
      <c r="Y78" s="19" t="n">
        <v>0.0186676783288824</v>
      </c>
      <c r="Z78" s="19" t="n">
        <v>0.7927973473295443</v>
      </c>
      <c r="AA78" s="37" t="n">
        <v>2.566757422320225</v>
      </c>
      <c r="AB78" s="19" t="n">
        <v>-0.2011051157991774</v>
      </c>
      <c r="AC78" s="19" t="n">
        <v>-0.754718068611021</v>
      </c>
      <c r="AD78" s="19" t="n">
        <v>-0.2047764178428962</v>
      </c>
      <c r="AE78" s="19" t="n">
        <v>0.1310148264826115</v>
      </c>
      <c r="AF78" s="19" t="n">
        <v>0.0620059303916482</v>
      </c>
      <c r="AG78" s="37" t="n">
        <v>2.33</v>
      </c>
      <c r="AH78" s="19" t="n">
        <v>0.8458682675776092</v>
      </c>
      <c r="AI78" s="37" t="n">
        <v>950</v>
      </c>
      <c r="AJ78" s="19" t="n">
        <v>0.955797801813101</v>
      </c>
    </row>
    <row r="79">
      <c r="A79" s="37" t="n">
        <v>16371</v>
      </c>
      <c r="B79" s="16" t="inlineStr">
        <is>
          <t>童昌希</t>
        </is>
      </c>
      <c r="C79" s="16" t="inlineStr">
        <is>
          <t>信澳业绩驱动混合C</t>
        </is>
      </c>
      <c r="D79" s="16" t="inlineStr">
        <is>
          <t>攻守转换型：操作质量最高</t>
        </is>
      </c>
      <c r="E79" s="37" t="n">
        <v>16371</v>
      </c>
      <c r="F79" s="38" t="n">
        <v>45839</v>
      </c>
      <c r="G79" s="37" t="n">
        <v>2025</v>
      </c>
      <c r="H79" s="37" t="n">
        <v>2</v>
      </c>
      <c r="I79" s="19" t="n">
        <v>0.163105413105413</v>
      </c>
      <c r="J79" s="19" t="n">
        <v>0.160605413105413</v>
      </c>
      <c r="K79" s="19" t="n">
        <v>0.0667092488602562</v>
      </c>
      <c r="L79" s="19" t="n">
        <v>0.5126973954361096</v>
      </c>
      <c r="M79" s="37" t="n"/>
      <c r="N79" s="37" t="n"/>
      <c r="O79" s="19" t="n">
        <v>0.25</v>
      </c>
      <c r="P79" s="19" t="n">
        <v>0.6</v>
      </c>
      <c r="Q79" s="37" t="n">
        <v>207.913056238107</v>
      </c>
      <c r="R79" s="37" t="n"/>
      <c r="S79" s="19" t="n">
        <v>0.332033</v>
      </c>
      <c r="T79" s="19" t="n">
        <v>0.083742</v>
      </c>
      <c r="U79" s="37" t="n">
        <v>0</v>
      </c>
      <c r="V79" s="37" t="n">
        <v>0</v>
      </c>
      <c r="W79" s="19" t="n">
        <v>-0.35</v>
      </c>
      <c r="X79" s="37" t="n">
        <v>0</v>
      </c>
      <c r="Y79" s="19" t="n">
        <v>0.0090967649912584</v>
      </c>
      <c r="Z79" s="19" t="n">
        <v>0.9166770982865596</v>
      </c>
      <c r="AA79" s="37" t="n">
        <v>2.566757422320225</v>
      </c>
      <c r="AB79" s="19" t="n">
        <v>-0.1578868546831615</v>
      </c>
      <c r="AC79" s="19" t="n">
        <v>-0.3132315377901823</v>
      </c>
      <c r="AD79" s="19" t="n">
        <v>-0.1352336349898083</v>
      </c>
      <c r="AE79" s="19" t="n">
        <v>0.1347722792932623</v>
      </c>
      <c r="AF79" s="19" t="n">
        <v>0.063914455374024</v>
      </c>
      <c r="AG79" s="37" t="n">
        <v>2.74</v>
      </c>
      <c r="AH79" s="37" t="n">
        <v>1.007957920399979</v>
      </c>
      <c r="AI79" s="37" t="n">
        <v>1041</v>
      </c>
      <c r="AJ79" s="37" t="n">
        <v>1.047272885833483</v>
      </c>
    </row>
    <row r="80">
      <c r="A80" s="37" t="n">
        <v>16371</v>
      </c>
      <c r="B80" s="16" t="inlineStr">
        <is>
          <t>童昌希</t>
        </is>
      </c>
      <c r="C80" s="16" t="inlineStr">
        <is>
          <t>信澳业绩驱动混合C</t>
        </is>
      </c>
      <c r="D80" s="16" t="inlineStr">
        <is>
          <t>攻守转换型：操作质量最高</t>
        </is>
      </c>
      <c r="E80" s="37" t="n">
        <v>16371</v>
      </c>
      <c r="F80" s="38" t="n">
        <v>45931</v>
      </c>
      <c r="G80" s="37" t="n">
        <v>2025</v>
      </c>
      <c r="H80" s="37" t="n">
        <v>3</v>
      </c>
      <c r="I80" s="19" t="n">
        <v>0.8362522963870174</v>
      </c>
      <c r="J80" s="19" t="n">
        <v>0.8337522963870174</v>
      </c>
      <c r="K80" s="19" t="n">
        <v>0.0667092488602562</v>
      </c>
      <c r="L80" s="19" t="n">
        <v>0.9167477960450242</v>
      </c>
      <c r="M80" s="37" t="n"/>
      <c r="N80" s="37" t="n"/>
      <c r="O80" s="37" t="n"/>
      <c r="P80" s="37" t="n"/>
      <c r="Q80" s="37" t="n">
        <v>207.913056238107</v>
      </c>
      <c r="R80" s="37" t="n"/>
      <c r="S80" s="19" t="n">
        <v>0.2956</v>
      </c>
      <c r="T80" s="19" t="n">
        <v>0.105099</v>
      </c>
      <c r="U80" s="19" t="n">
        <v>0.1607622770583923</v>
      </c>
      <c r="V80" s="37" t="n">
        <v>0</v>
      </c>
      <c r="W80" s="37" t="n"/>
      <c r="X80" s="37" t="n">
        <v>0</v>
      </c>
      <c r="Y80" s="19" t="n">
        <v>0.2539008853203616</v>
      </c>
      <c r="Z80" s="19" t="n">
        <v>0.9384622103182316</v>
      </c>
      <c r="AA80" s="37" t="n">
        <v>2.566757422320225</v>
      </c>
      <c r="AB80" s="19" t="n">
        <v>-0.0157599017428887</v>
      </c>
      <c r="AC80" s="19" t="n">
        <v>0.3137447454858599</v>
      </c>
      <c r="AD80" s="19" t="n">
        <v>0.1430991897136491</v>
      </c>
      <c r="AE80" s="19" t="n">
        <v>0.2995693995894878</v>
      </c>
      <c r="AF80" s="19" t="n">
        <v>0.0945758184983255</v>
      </c>
      <c r="AG80" s="37" t="n">
        <v>37.73</v>
      </c>
      <c r="AH80" s="37" t="n">
        <v>3.630455533976219</v>
      </c>
      <c r="AI80" s="37" t="n">
        <v>1133</v>
      </c>
      <c r="AJ80" s="37" t="n">
        <v>1.131960078246521</v>
      </c>
    </row>
    <row r="81">
      <c r="A81" s="37" t="n">
        <v>16371</v>
      </c>
      <c r="B81" s="16" t="inlineStr">
        <is>
          <t>童昌希</t>
        </is>
      </c>
      <c r="C81" s="16" t="inlineStr">
        <is>
          <t>信澳业绩驱动混合C</t>
        </is>
      </c>
      <c r="D81" s="16" t="inlineStr">
        <is>
          <t>攻守转换型：操作质量最高</t>
        </is>
      </c>
      <c r="E81" s="37" t="n">
        <v>16371</v>
      </c>
      <c r="F81" s="38" t="n">
        <v>46023</v>
      </c>
      <c r="G81" s="37" t="n">
        <v>2025</v>
      </c>
      <c r="H81" s="37" t="n">
        <v>4</v>
      </c>
      <c r="I81" s="19" t="n">
        <v>0.1541385980124048</v>
      </c>
      <c r="J81" s="19" t="n">
        <v>0.1516385980124048</v>
      </c>
      <c r="K81" s="19" t="n">
        <v>0.0667092488602562</v>
      </c>
      <c r="L81" s="19" t="n">
        <v>0.1904858272438254</v>
      </c>
      <c r="M81" s="37" t="n"/>
      <c r="N81" s="37" t="n"/>
      <c r="O81" s="19" t="n">
        <v>0.25</v>
      </c>
      <c r="P81" s="37" t="n">
        <v>0</v>
      </c>
      <c r="Q81" s="37" t="n"/>
      <c r="R81" s="37" t="n"/>
      <c r="S81" s="19" t="n">
        <v>0.429951</v>
      </c>
      <c r="T81" s="19" t="n">
        <v>0.073118</v>
      </c>
      <c r="U81" s="19" t="n">
        <v>0.1586411613515305</v>
      </c>
      <c r="V81" s="37" t="n">
        <v>0</v>
      </c>
      <c r="W81" s="19" t="n">
        <v>0.25</v>
      </c>
      <c r="X81" s="37" t="n"/>
      <c r="Y81" s="19" t="n">
        <v>0.2268197522135797</v>
      </c>
      <c r="Z81" s="19" t="n">
        <v>0.993939730658755</v>
      </c>
      <c r="AA81" s="37" t="n">
        <v>2.566757422320225</v>
      </c>
      <c r="AB81" s="19" t="n">
        <v>0.293447864692012</v>
      </c>
      <c r="AC81" s="37" t="n">
        <v>3.630273207471026</v>
      </c>
      <c r="AD81" s="19" t="n">
        <v>0.4835663733397914</v>
      </c>
      <c r="AE81" s="19" t="n">
        <v>0.2857636784891472</v>
      </c>
      <c r="AF81" s="19" t="n">
        <v>0.1114848563824973</v>
      </c>
      <c r="AG81" s="37" t="n">
        <v>35.95</v>
      </c>
      <c r="AH81" s="37" t="n">
        <v>3.582129084167056</v>
      </c>
      <c r="AI81" s="37" t="n">
        <v>1225</v>
      </c>
      <c r="AJ81" s="37" t="n">
        <v>1.210031940197342</v>
      </c>
    </row>
    <row r="82">
      <c r="A82" s="37" t="n">
        <v>16371</v>
      </c>
      <c r="B82" s="16" t="inlineStr">
        <is>
          <t>童昌希</t>
        </is>
      </c>
      <c r="C82" s="16" t="inlineStr">
        <is>
          <t>信澳业绩驱动混合C</t>
        </is>
      </c>
      <c r="D82" s="16" t="inlineStr">
        <is>
          <t>攻守转换型：操作质量最高</t>
        </is>
      </c>
      <c r="E82" s="37" t="n">
        <v>16371</v>
      </c>
      <c r="F82" s="38" t="n">
        <v>46113</v>
      </c>
      <c r="G82" s="37" t="n">
        <v>2026</v>
      </c>
      <c r="H82" s="37" t="n">
        <v>1</v>
      </c>
      <c r="I82" s="19" t="n">
        <v>0.0967406380027751</v>
      </c>
      <c r="J82" s="19" t="n">
        <v>0.0942406380027751</v>
      </c>
      <c r="K82" s="19" t="n">
        <v>0.0667092488602562</v>
      </c>
      <c r="L82" s="19" t="n">
        <v>0.1206611130208626</v>
      </c>
      <c r="M82" s="37" t="n"/>
      <c r="N82" s="37" t="n"/>
      <c r="O82" s="37" t="n"/>
      <c r="P82" s="37" t="n"/>
      <c r="Q82" s="37" t="n"/>
      <c r="R82" s="37" t="n"/>
      <c r="S82" s="19" t="n">
        <v>0.5493</v>
      </c>
      <c r="T82" s="19" t="n">
        <v>0.110435</v>
      </c>
      <c r="U82" s="19" t="n">
        <v>0.0021211157068618</v>
      </c>
      <c r="V82" s="37" t="n">
        <v>0</v>
      </c>
      <c r="W82" s="37" t="n"/>
      <c r="X82" s="37" t="n"/>
      <c r="Y82" s="37" t="n"/>
      <c r="Z82" s="19" t="n">
        <v>0.9307931646847843</v>
      </c>
      <c r="AA82" s="37" t="n">
        <v>2.566757422320225</v>
      </c>
      <c r="AB82" s="19" t="n">
        <v>0.4198676634716005</v>
      </c>
      <c r="AC82" s="37" t="n"/>
      <c r="AD82" s="19" t="n">
        <v>0.6076846253971041</v>
      </c>
      <c r="AE82" s="19" t="n">
        <v>0.2669639024297172</v>
      </c>
      <c r="AF82" s="19" t="n">
        <v>0.08235767830708721</v>
      </c>
      <c r="AG82" s="37" t="n">
        <v>28.5</v>
      </c>
      <c r="AH82" s="37" t="n">
        <v>3.349904087274605</v>
      </c>
      <c r="AI82" s="37" t="n">
        <v>47</v>
      </c>
      <c r="AJ82" s="37" t="n">
        <v>1.280927761830379</v>
      </c>
    </row>
    <row r="83">
      <c r="A83" s="37" t="n">
        <v>16371</v>
      </c>
      <c r="B83" s="16" t="inlineStr">
        <is>
          <t>童昌希</t>
        </is>
      </c>
      <c r="C83" s="16" t="inlineStr">
        <is>
          <t>信澳业绩驱动混合C</t>
        </is>
      </c>
      <c r="D83" s="16" t="inlineStr">
        <is>
          <t>攻守转换型：操作质量最高</t>
        </is>
      </c>
      <c r="E83" s="37" t="n">
        <v>16371</v>
      </c>
      <c r="F83" s="38" t="n">
        <v>46204</v>
      </c>
      <c r="G83" s="37" t="n">
        <v>2026</v>
      </c>
      <c r="H83" s="37" t="n">
        <v>2</v>
      </c>
      <c r="I83" s="19" t="n">
        <v>0.8956686689851405</v>
      </c>
      <c r="J83" s="37" t="n"/>
      <c r="K83" s="19" t="n">
        <v>0.0667092488602562</v>
      </c>
      <c r="L83" s="19" t="n">
        <v>0.7895674548916004</v>
      </c>
      <c r="M83" s="37" t="n"/>
      <c r="N83" s="37" t="n"/>
      <c r="O83" s="19" t="n">
        <v>0.8</v>
      </c>
      <c r="P83" s="37" t="n">
        <v>1</v>
      </c>
      <c r="Q83" s="37" t="n"/>
      <c r="R83" s="37" t="n"/>
      <c r="S83" s="19" t="n">
        <v>0.580931</v>
      </c>
      <c r="T83" s="19" t="n">
        <v>0.106097</v>
      </c>
      <c r="U83" s="37" t="n">
        <v>0</v>
      </c>
      <c r="V83" s="37" t="n">
        <v>0</v>
      </c>
      <c r="W83" s="19" t="n">
        <v>-0.1999999999999999</v>
      </c>
      <c r="X83" s="37" t="n"/>
      <c r="Y83" s="37" t="n"/>
      <c r="Z83" s="19" t="n">
        <v>0.9914161718482792</v>
      </c>
      <c r="AA83" s="37" t="n">
        <v>2.566757422320225</v>
      </c>
      <c r="AB83" s="19" t="n">
        <v>0.5458139040248615</v>
      </c>
      <c r="AC83" s="37" t="n"/>
      <c r="AD83" s="19" t="n">
        <v>0.7409876992986183</v>
      </c>
      <c r="AE83" s="19" t="n">
        <v>0.356696791861137</v>
      </c>
      <c r="AF83" s="19" t="n">
        <v>0.0491211349106901</v>
      </c>
      <c r="AG83" s="37" t="n">
        <v>148.33</v>
      </c>
      <c r="AH83" s="37" t="n">
        <v>4.999439521335521</v>
      </c>
      <c r="AI83" s="37" t="n">
        <v>138</v>
      </c>
      <c r="AJ83" s="37" t="n">
        <v>1.347839889589125</v>
      </c>
    </row>
    <row r="84">
      <c r="A84" s="37" t="n">
        <v>16772</v>
      </c>
      <c r="B84" s="16" t="inlineStr">
        <is>
          <t>Yi Xie、周建胜</t>
        </is>
      </c>
      <c r="C84" s="16" t="inlineStr">
        <is>
          <t>诺德兴新趋势混合A</t>
        </is>
      </c>
      <c r="D84" s="16" t="inlineStr">
        <is>
          <t>基本面优势型：背景条件最高</t>
        </is>
      </c>
      <c r="E84" s="37" t="n">
        <v>16772</v>
      </c>
      <c r="F84" s="38" t="n">
        <v>44927</v>
      </c>
      <c r="G84" s="37" t="n">
        <v>2022</v>
      </c>
      <c r="H84" s="37" t="n">
        <v>4</v>
      </c>
      <c r="I84" s="37" t="n">
        <v>-9.9999999999989e-05</v>
      </c>
      <c r="J84" s="19" t="n">
        <v>-0.0025999999999999</v>
      </c>
      <c r="K84" s="19" t="n">
        <v>-0.008280608833566299</v>
      </c>
      <c r="L84" s="37" t="n"/>
      <c r="M84" s="37" t="n"/>
      <c r="N84" s="37" t="n"/>
      <c r="O84" s="37" t="n"/>
      <c r="P84" s="37" t="n"/>
      <c r="Q84" s="37" t="n">
        <v>183.472725435792</v>
      </c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2.385106280261499</v>
      </c>
      <c r="AB84" s="37" t="n"/>
      <c r="AC84" s="37" t="n"/>
      <c r="AD84" s="37" t="n"/>
      <c r="AE84" s="37" t="n"/>
      <c r="AF84" s="37" t="n"/>
      <c r="AG84" s="19" t="n">
        <v>0.6899999999999999</v>
      </c>
      <c r="AH84" s="37" t="n">
        <v>0</v>
      </c>
      <c r="AI84" s="37" t="n">
        <v>12</v>
      </c>
      <c r="AJ84" s="37" t="n">
        <v>-3.415757532993485</v>
      </c>
    </row>
    <row r="85">
      <c r="A85" s="37" t="n">
        <v>16772</v>
      </c>
      <c r="B85" s="16" t="inlineStr">
        <is>
          <t>Yi Xie、周建胜</t>
        </is>
      </c>
      <c r="C85" s="16" t="inlineStr">
        <is>
          <t>诺德兴新趋势混合A</t>
        </is>
      </c>
      <c r="D85" s="16" t="inlineStr">
        <is>
          <t>基本面优势型：背景条件最高</t>
        </is>
      </c>
      <c r="E85" s="37" t="n">
        <v>16772</v>
      </c>
      <c r="F85" s="38" t="n">
        <v>45017</v>
      </c>
      <c r="G85" s="37" t="n">
        <v>2023</v>
      </c>
      <c r="H85" s="37" t="n">
        <v>1</v>
      </c>
      <c r="I85" s="19" t="n">
        <v>-0.0387038703870388</v>
      </c>
      <c r="J85" s="19" t="n">
        <v>-0.0412038703870388</v>
      </c>
      <c r="K85" s="19" t="n">
        <v>-0.008280608833566299</v>
      </c>
      <c r="L85" s="37" t="n"/>
      <c r="M85" s="37" t="n"/>
      <c r="N85" s="37" t="n"/>
      <c r="O85" s="37" t="n"/>
      <c r="P85" s="37" t="n"/>
      <c r="Q85" s="37" t="n">
        <v>183.472725435792</v>
      </c>
      <c r="R85" s="37" t="n"/>
      <c r="S85" s="19" t="n">
        <v>0.124311</v>
      </c>
      <c r="T85" s="19" t="n">
        <v>0.103083</v>
      </c>
      <c r="U85" s="37" t="n"/>
      <c r="V85" s="37" t="n"/>
      <c r="W85" s="37" t="n"/>
      <c r="X85" s="37" t="n">
        <v>0</v>
      </c>
      <c r="Y85" s="37" t="n"/>
      <c r="Z85" s="19" t="n">
        <v>0.6462914195087187</v>
      </c>
      <c r="AA85" s="37" t="n">
        <v>2.385106280261499</v>
      </c>
      <c r="AB85" s="37" t="n"/>
      <c r="AC85" s="37" t="n"/>
      <c r="AD85" s="37" t="n"/>
      <c r="AE85" s="37" t="n"/>
      <c r="AF85" s="37" t="n"/>
      <c r="AG85" s="19" t="n">
        <v>0.53</v>
      </c>
      <c r="AH85" s="37" t="n">
        <v>0</v>
      </c>
      <c r="AI85" s="37" t="n">
        <v>102</v>
      </c>
      <c r="AJ85" s="37" t="n">
        <v>-1.275691369497214</v>
      </c>
    </row>
    <row r="86">
      <c r="A86" s="37" t="n">
        <v>16772</v>
      </c>
      <c r="B86" s="16" t="inlineStr">
        <is>
          <t>Yi Xie、周建胜</t>
        </is>
      </c>
      <c r="C86" s="16" t="inlineStr">
        <is>
          <t>诺德兴新趋势混合A</t>
        </is>
      </c>
      <c r="D86" s="16" t="inlineStr">
        <is>
          <t>基本面优势型：背景条件最高</t>
        </is>
      </c>
      <c r="E86" s="37" t="n">
        <v>16772</v>
      </c>
      <c r="F86" s="38" t="n">
        <v>45108</v>
      </c>
      <c r="G86" s="37" t="n">
        <v>2023</v>
      </c>
      <c r="H86" s="37" t="n">
        <v>2</v>
      </c>
      <c r="I86" s="19" t="n">
        <v>-0.0639825218476901</v>
      </c>
      <c r="J86" s="19" t="n">
        <v>-0.0664825218476901</v>
      </c>
      <c r="K86" s="19" t="n">
        <v>-0.008280608833566299</v>
      </c>
      <c r="L86" s="19" t="n">
        <v>0.0713269839534128</v>
      </c>
      <c r="M86" s="37" t="n"/>
      <c r="N86" s="37" t="n"/>
      <c r="O86" s="37" t="n"/>
      <c r="P86" s="37" t="n"/>
      <c r="Q86" s="37" t="n">
        <v>84.7498678687095</v>
      </c>
      <c r="R86" s="37" t="n"/>
      <c r="S86" s="19" t="n">
        <v>0.039695</v>
      </c>
      <c r="T86" s="19" t="n">
        <v>0.026295</v>
      </c>
      <c r="U86" s="19" t="n">
        <v>0.6596709758318111</v>
      </c>
      <c r="V86" s="37" t="n"/>
      <c r="W86" s="37" t="n"/>
      <c r="X86" s="37" t="n">
        <v>0</v>
      </c>
      <c r="Y86" s="37" t="n"/>
      <c r="Z86" s="19" t="n">
        <v>0.6640306285487683</v>
      </c>
      <c r="AA86" s="37" t="n">
        <v>2.385106280261499</v>
      </c>
      <c r="AB86" s="37" t="n"/>
      <c r="AC86" s="37" t="n"/>
      <c r="AD86" s="37" t="n"/>
      <c r="AE86" s="19" t="n">
        <v>0.0321720521212355</v>
      </c>
      <c r="AF86" s="19" t="n">
        <v>0.1054224772210763</v>
      </c>
      <c r="AG86" s="19" t="n">
        <v>0.44</v>
      </c>
      <c r="AH86" s="37" t="n">
        <v>0</v>
      </c>
      <c r="AI86" s="37" t="n">
        <v>193</v>
      </c>
      <c r="AJ86" s="19" t="n">
        <v>-0.6379739938765999</v>
      </c>
    </row>
    <row r="87">
      <c r="A87" s="37" t="n">
        <v>16772</v>
      </c>
      <c r="B87" s="16" t="inlineStr">
        <is>
          <t>Yi Xie、周建胜</t>
        </is>
      </c>
      <c r="C87" s="16" t="inlineStr">
        <is>
          <t>诺德兴新趋势混合A</t>
        </is>
      </c>
      <c r="D87" s="16" t="inlineStr">
        <is>
          <t>基本面优势型：背景条件最高</t>
        </is>
      </c>
      <c r="E87" s="37" t="n">
        <v>16772</v>
      </c>
      <c r="F87" s="38" t="n">
        <v>45200</v>
      </c>
      <c r="G87" s="37" t="n">
        <v>2023</v>
      </c>
      <c r="H87" s="37" t="n">
        <v>3</v>
      </c>
      <c r="I87" s="19" t="n">
        <v>-0.0251194842725361</v>
      </c>
      <c r="J87" s="19" t="n">
        <v>-0.0276194842725361</v>
      </c>
      <c r="K87" s="19" t="n">
        <v>-0.008280608833566299</v>
      </c>
      <c r="L87" s="19" t="n">
        <v>0.1068154201480913</v>
      </c>
      <c r="M87" s="37" t="n"/>
      <c r="N87" s="37" t="n"/>
      <c r="O87" s="37" t="n"/>
      <c r="P87" s="37" t="n"/>
      <c r="Q87" s="37" t="n">
        <v>84.7498678687095</v>
      </c>
      <c r="R87" s="37" t="n"/>
      <c r="S87" s="19" t="n">
        <v>0.088349</v>
      </c>
      <c r="T87" s="19" t="n">
        <v>0.101257</v>
      </c>
      <c r="U87" s="19" t="n">
        <v>0.077030122962116</v>
      </c>
      <c r="V87" s="37" t="n"/>
      <c r="W87" s="37" t="n"/>
      <c r="X87" s="37" t="n">
        <v>0</v>
      </c>
      <c r="Y87" s="37" t="n"/>
      <c r="Z87" s="19" t="n">
        <v>0.6717092328286346</v>
      </c>
      <c r="AA87" s="37" t="n">
        <v>2.385106280261499</v>
      </c>
      <c r="AB87" s="37" t="n"/>
      <c r="AC87" s="37" t="n"/>
      <c r="AD87" s="37" t="n"/>
      <c r="AE87" s="19" t="n">
        <v>0.0266631635018058</v>
      </c>
      <c r="AF87" s="19" t="n">
        <v>0.0642921988997873</v>
      </c>
      <c r="AG87" s="19" t="n">
        <v>0.32</v>
      </c>
      <c r="AH87" s="37" t="n">
        <v>0</v>
      </c>
      <c r="AI87" s="37" t="n">
        <v>285</v>
      </c>
      <c r="AJ87" s="19" t="n">
        <v>-0.2481750025128349</v>
      </c>
    </row>
    <row r="88">
      <c r="A88" s="37" t="n">
        <v>16772</v>
      </c>
      <c r="B88" s="16" t="inlineStr">
        <is>
          <t>Yi Xie、周建胜</t>
        </is>
      </c>
      <c r="C88" s="16" t="inlineStr">
        <is>
          <t>诺德兴新趋势混合A</t>
        </is>
      </c>
      <c r="D88" s="16" t="inlineStr">
        <is>
          <t>基本面优势型：背景条件最高</t>
        </is>
      </c>
      <c r="E88" s="37" t="n">
        <v>16772</v>
      </c>
      <c r="F88" s="38" t="n">
        <v>45292</v>
      </c>
      <c r="G88" s="37" t="n">
        <v>2023</v>
      </c>
      <c r="H88" s="37" t="n">
        <v>4</v>
      </c>
      <c r="I88" s="19" t="n">
        <v>-0.08243073765819239</v>
      </c>
      <c r="J88" s="19" t="n">
        <v>-0.0849307376581924</v>
      </c>
      <c r="K88" s="19" t="n">
        <v>-0.008280608833566299</v>
      </c>
      <c r="L88" s="19" t="n">
        <v>0.1022019573820396</v>
      </c>
      <c r="M88" s="37" t="n"/>
      <c r="N88" s="37" t="n"/>
      <c r="O88" s="19" t="n">
        <v>0.1818181818181818</v>
      </c>
      <c r="P88" s="19" t="n">
        <v>0.03125</v>
      </c>
      <c r="Q88" s="37" t="n">
        <v>82.81544867947621</v>
      </c>
      <c r="R88" s="37" t="n"/>
      <c r="S88" s="19" t="n">
        <v>0.034734</v>
      </c>
      <c r="T88" s="19" t="n">
        <v>0.022635</v>
      </c>
      <c r="U88" s="19" t="n">
        <v>0.09518395531486611</v>
      </c>
      <c r="V88" s="37" t="n"/>
      <c r="W88" s="19" t="n">
        <v>0.1505681818181818</v>
      </c>
      <c r="X88" s="37" t="n">
        <v>0</v>
      </c>
      <c r="Y88" s="37" t="n"/>
      <c r="Z88" s="19" t="n">
        <v>0.6054099046252126</v>
      </c>
      <c r="AA88" s="37" t="n">
        <v>2.385106280261499</v>
      </c>
      <c r="AB88" s="19" t="n">
        <v>-0.1434009213825243</v>
      </c>
      <c r="AC88" s="37" t="n">
        <v>-1.293037456882458</v>
      </c>
      <c r="AD88" s="37" t="n">
        <v>-1.293037456882458</v>
      </c>
      <c r="AE88" s="19" t="n">
        <v>0.0322849788376927</v>
      </c>
      <c r="AF88" s="19" t="n">
        <v>0.0356208155592454</v>
      </c>
      <c r="AG88" s="19" t="n">
        <v>0.35</v>
      </c>
      <c r="AH88" s="37" t="n">
        <v>0</v>
      </c>
      <c r="AI88" s="37" t="n">
        <v>377</v>
      </c>
      <c r="AJ88" s="19" t="n">
        <v>0.0315810046665252</v>
      </c>
    </row>
    <row r="89">
      <c r="A89" s="37" t="n">
        <v>16772</v>
      </c>
      <c r="B89" s="16" t="inlineStr">
        <is>
          <t>Yi Xie、周建胜</t>
        </is>
      </c>
      <c r="C89" s="16" t="inlineStr">
        <is>
          <t>诺德兴新趋势混合A</t>
        </is>
      </c>
      <c r="D89" s="16" t="inlineStr">
        <is>
          <t>基本面优势型：背景条件最高</t>
        </is>
      </c>
      <c r="E89" s="37" t="n">
        <v>16772</v>
      </c>
      <c r="F89" s="38" t="n">
        <v>45383</v>
      </c>
      <c r="G89" s="37" t="n">
        <v>2024</v>
      </c>
      <c r="H89" s="37" t="n">
        <v>1</v>
      </c>
      <c r="I89" s="19" t="n">
        <v>0.0027335984095429</v>
      </c>
      <c r="J89" s="19" t="n">
        <v>0.0002335984095429</v>
      </c>
      <c r="K89" s="19" t="n">
        <v>-0.008280608833566299</v>
      </c>
      <c r="L89" s="19" t="n">
        <v>0.2539211552914752</v>
      </c>
      <c r="M89" s="37" t="n"/>
      <c r="N89" s="37" t="n"/>
      <c r="O89" s="37" t="n"/>
      <c r="P89" s="37" t="n"/>
      <c r="Q89" s="37" t="n">
        <v>82.81544867947621</v>
      </c>
      <c r="R89" s="37" t="n"/>
      <c r="S89" s="19" t="n">
        <v>0.091081</v>
      </c>
      <c r="T89" s="19" t="n">
        <v>0.103698</v>
      </c>
      <c r="U89" s="19" t="n">
        <v>0.3145718381839145</v>
      </c>
      <c r="V89" s="37" t="n"/>
      <c r="W89" s="37" t="n"/>
      <c r="X89" s="37" t="n">
        <v>0</v>
      </c>
      <c r="Y89" s="37" t="n"/>
      <c r="Z89" s="19" t="n">
        <v>0.6749264694647841</v>
      </c>
      <c r="AA89" s="37" t="n">
        <v>2.385106280261499</v>
      </c>
      <c r="AB89" s="19" t="n">
        <v>-0.1873531727921824</v>
      </c>
      <c r="AC89" s="37" t="n">
        <v>-1.380435250001128</v>
      </c>
      <c r="AD89" s="37" t="n">
        <v>-1.380435250001128</v>
      </c>
      <c r="AE89" s="19" t="n">
        <v>0.0341815200199123</v>
      </c>
      <c r="AF89" s="19" t="n">
        <v>0.09367087468250079</v>
      </c>
      <c r="AG89" s="19" t="n">
        <v>0.34</v>
      </c>
      <c r="AH89" s="37" t="n">
        <v>0</v>
      </c>
      <c r="AI89" s="37" t="n">
        <v>468</v>
      </c>
      <c r="AJ89" s="19" t="n">
        <v>0.2478041131361613</v>
      </c>
    </row>
    <row r="90">
      <c r="A90" s="37" t="n">
        <v>16772</v>
      </c>
      <c r="B90" s="16" t="inlineStr">
        <is>
          <t>Yi Xie、周建胜</t>
        </is>
      </c>
      <c r="C90" s="16" t="inlineStr">
        <is>
          <t>诺德兴新趋势混合A</t>
        </is>
      </c>
      <c r="D90" s="16" t="inlineStr">
        <is>
          <t>基本面优势型：背景条件最高</t>
        </is>
      </c>
      <c r="E90" s="37" t="n">
        <v>16772</v>
      </c>
      <c r="F90" s="38" t="n">
        <v>45474</v>
      </c>
      <c r="G90" s="37" t="n">
        <v>2024</v>
      </c>
      <c r="H90" s="37" t="n">
        <v>2</v>
      </c>
      <c r="I90" s="19" t="n">
        <v>-0.0350681536555154</v>
      </c>
      <c r="J90" s="19" t="n">
        <v>-0.0375681536555154</v>
      </c>
      <c r="K90" s="19" t="n">
        <v>-0.008280608833566299</v>
      </c>
      <c r="L90" s="19" t="n">
        <v>0.1661652306876232</v>
      </c>
      <c r="M90" s="37" t="n"/>
      <c r="N90" s="37" t="n"/>
      <c r="O90" s="37" t="n">
        <v>0</v>
      </c>
      <c r="P90" s="19" t="n">
        <v>0.2666666666666666</v>
      </c>
      <c r="Q90" s="37" t="n">
        <v>55.7203221508612</v>
      </c>
      <c r="R90" s="37" t="n"/>
      <c r="S90" s="19" t="n">
        <v>0.033659</v>
      </c>
      <c r="T90" s="19" t="n">
        <v>0.022433</v>
      </c>
      <c r="U90" s="19" t="n">
        <v>0.3193602316528392</v>
      </c>
      <c r="V90" s="37" t="n"/>
      <c r="W90" s="19" t="n">
        <v>-0.2666666666666666</v>
      </c>
      <c r="X90" s="37" t="n">
        <v>-27.095126528615</v>
      </c>
      <c r="Y90" s="37" t="n"/>
      <c r="Z90" s="19" t="n">
        <v>0.6459777586121357</v>
      </c>
      <c r="AA90" s="37" t="n">
        <v>2.385106280261499</v>
      </c>
      <c r="AB90" s="19" t="n">
        <v>-0.1571776725010956</v>
      </c>
      <c r="AC90" s="37" t="n">
        <v>-1.149156789369516</v>
      </c>
      <c r="AD90" s="37" t="n">
        <v>-1.085396512629425</v>
      </c>
      <c r="AE90" s="19" t="n">
        <v>0.0312038165650342</v>
      </c>
      <c r="AF90" s="19" t="n">
        <v>0.0518953948657539</v>
      </c>
      <c r="AG90" s="19" t="n">
        <v>0.22</v>
      </c>
      <c r="AH90" s="37" t="n">
        <v>0</v>
      </c>
      <c r="AI90" s="37" t="n">
        <v>559</v>
      </c>
      <c r="AJ90" s="19" t="n">
        <v>0.4254852903736136</v>
      </c>
    </row>
    <row r="91">
      <c r="A91" s="37" t="n">
        <v>16772</v>
      </c>
      <c r="B91" s="16" t="inlineStr">
        <is>
          <t>Yi Xie、周建胜</t>
        </is>
      </c>
      <c r="C91" s="16" t="inlineStr">
        <is>
          <t>诺德兴新趋势混合A</t>
        </is>
      </c>
      <c r="D91" s="16" t="inlineStr">
        <is>
          <t>基本面优势型：背景条件最高</t>
        </is>
      </c>
      <c r="E91" s="37" t="n">
        <v>16772</v>
      </c>
      <c r="F91" s="38" t="n">
        <v>45566</v>
      </c>
      <c r="G91" s="37" t="n">
        <v>2024</v>
      </c>
      <c r="H91" s="37" t="n">
        <v>3</v>
      </c>
      <c r="I91" s="19" t="n">
        <v>0.1226402979324514</v>
      </c>
      <c r="J91" s="19" t="n">
        <v>0.1201402979324514</v>
      </c>
      <c r="K91" s="19" t="n">
        <v>-0.008280608833566299</v>
      </c>
      <c r="L91" s="19" t="n">
        <v>0.35794616305107</v>
      </c>
      <c r="M91" s="37" t="n"/>
      <c r="N91" s="37" t="n"/>
      <c r="O91" s="37" t="n"/>
      <c r="P91" s="37" t="n"/>
      <c r="Q91" s="37" t="n">
        <v>55.7203221508612</v>
      </c>
      <c r="R91" s="37" t="n"/>
      <c r="S91" s="19" t="n">
        <v>0.07221900000000001</v>
      </c>
      <c r="T91" s="19" t="n">
        <v>0.104477</v>
      </c>
      <c r="U91" s="19" t="n">
        <v>0.3029849790744962</v>
      </c>
      <c r="V91" s="37" t="n"/>
      <c r="W91" s="37" t="n"/>
      <c r="X91" s="37" t="n">
        <v>0</v>
      </c>
      <c r="Y91" s="19" t="n">
        <v>0.033464034068829</v>
      </c>
      <c r="Z91" s="19" t="n">
        <v>0.7128551126165187</v>
      </c>
      <c r="AA91" s="37" t="n">
        <v>2.385106280261499</v>
      </c>
      <c r="AB91" s="19" t="n">
        <v>-0.1565498461328464</v>
      </c>
      <c r="AC91" s="37" t="n">
        <v>-1.280854406795271</v>
      </c>
      <c r="AD91" s="37" t="n">
        <v>-1.191114229198704</v>
      </c>
      <c r="AE91" s="19" t="n">
        <v>0.0626720968447799</v>
      </c>
      <c r="AF91" s="19" t="n">
        <v>0.0657739326397045</v>
      </c>
      <c r="AG91" s="19" t="n">
        <v>0.25</v>
      </c>
      <c r="AH91" s="37" t="n">
        <v>0</v>
      </c>
      <c r="AI91" s="37" t="n">
        <v>651</v>
      </c>
      <c r="AJ91" s="19" t="n">
        <v>0.5778454594270838</v>
      </c>
    </row>
    <row r="92">
      <c r="A92" s="37" t="n">
        <v>16772</v>
      </c>
      <c r="B92" s="16" t="inlineStr">
        <is>
          <t>Yi Xie、周建胜</t>
        </is>
      </c>
      <c r="C92" s="16" t="inlineStr">
        <is>
          <t>诺德兴新趋势混合A</t>
        </is>
      </c>
      <c r="D92" s="16" t="inlineStr">
        <is>
          <t>基本面优势型：背景条件最高</t>
        </is>
      </c>
      <c r="E92" s="37" t="n">
        <v>16772</v>
      </c>
      <c r="F92" s="38" t="n">
        <v>45658</v>
      </c>
      <c r="G92" s="37" t="n">
        <v>2024</v>
      </c>
      <c r="H92" s="37" t="n">
        <v>4</v>
      </c>
      <c r="I92" s="19" t="n">
        <v>-0.073095401509952</v>
      </c>
      <c r="J92" s="19" t="n">
        <v>-0.075595401509952</v>
      </c>
      <c r="K92" s="19" t="n">
        <v>-0.008280608833566299</v>
      </c>
      <c r="L92" s="19" t="n">
        <v>0.1109277493777161</v>
      </c>
      <c r="M92" s="37" t="n"/>
      <c r="N92" s="37" t="n"/>
      <c r="O92" s="19" t="n">
        <v>0.3428571428571428</v>
      </c>
      <c r="P92" s="19" t="n">
        <v>0.1176470588235294</v>
      </c>
      <c r="Q92" s="37" t="n">
        <v>604.645629423648</v>
      </c>
      <c r="R92" s="37" t="n"/>
      <c r="S92" s="19" t="n">
        <v>0.032644</v>
      </c>
      <c r="T92" s="19" t="n">
        <v>0.021526</v>
      </c>
      <c r="U92" s="19" t="n">
        <v>0.2097531807335728</v>
      </c>
      <c r="V92" s="37" t="n"/>
      <c r="W92" s="19" t="n">
        <v>0.2252100840336134</v>
      </c>
      <c r="X92" s="37" t="n">
        <v>548.9253072727868</v>
      </c>
      <c r="Y92" s="19" t="n">
        <v>0.0387643739709644</v>
      </c>
      <c r="Z92" s="19" t="n">
        <v>0.7615172543278549</v>
      </c>
      <c r="AA92" s="37" t="n">
        <v>2.385106280261499</v>
      </c>
      <c r="AB92" s="19" t="n">
        <v>-0.08979380482807391</v>
      </c>
      <c r="AC92" s="19" t="n">
        <v>-0.6032154305321853</v>
      </c>
      <c r="AD92" s="19" t="n">
        <v>-0.2792926966880355</v>
      </c>
      <c r="AE92" s="19" t="n">
        <v>0.0654446366763019</v>
      </c>
      <c r="AF92" s="19" t="n">
        <v>0.0828793885352203</v>
      </c>
      <c r="AG92" s="19" t="n">
        <v>0.19</v>
      </c>
      <c r="AH92" s="37" t="n">
        <v>0</v>
      </c>
      <c r="AI92" s="37" t="n">
        <v>743</v>
      </c>
      <c r="AJ92" s="19" t="n">
        <v>0.7100318619362737</v>
      </c>
    </row>
    <row r="93">
      <c r="A93" s="37" t="n">
        <v>16772</v>
      </c>
      <c r="B93" s="16" t="inlineStr">
        <is>
          <t>Yi Xie、周建胜</t>
        </is>
      </c>
      <c r="C93" s="16" t="inlineStr">
        <is>
          <t>诺德兴新趋势混合A</t>
        </is>
      </c>
      <c r="D93" s="16" t="inlineStr">
        <is>
          <t>基本面优势型：背景条件最高</t>
        </is>
      </c>
      <c r="E93" s="37" t="n">
        <v>16772</v>
      </c>
      <c r="F93" s="38" t="n">
        <v>45748</v>
      </c>
      <c r="G93" s="37" t="n">
        <v>2025</v>
      </c>
      <c r="H93" s="37" t="n">
        <v>1</v>
      </c>
      <c r="I93" s="19" t="n">
        <v>-0.0898432679254596</v>
      </c>
      <c r="J93" s="19" t="n">
        <v>-0.0923432679254596</v>
      </c>
      <c r="K93" s="19" t="n">
        <v>-0.008280608833566299</v>
      </c>
      <c r="L93" s="19" t="n">
        <v>0.0372640272619642</v>
      </c>
      <c r="M93" s="37" t="n"/>
      <c r="N93" s="37" t="n"/>
      <c r="O93" s="37" t="n"/>
      <c r="P93" s="37" t="n"/>
      <c r="Q93" s="37" t="n">
        <v>604.645629423648</v>
      </c>
      <c r="R93" s="37" t="n"/>
      <c r="S93" s="19" t="n">
        <v>0.389264</v>
      </c>
      <c r="T93" s="19" t="n">
        <v>0.113337</v>
      </c>
      <c r="U93" s="37" t="n">
        <v>1.246417112299465</v>
      </c>
      <c r="V93" s="37" t="n">
        <v>0</v>
      </c>
      <c r="W93" s="37" t="n"/>
      <c r="X93" s="37" t="n">
        <v>0</v>
      </c>
      <c r="Y93" s="19" t="n">
        <v>0.0361339292177793</v>
      </c>
      <c r="Z93" s="19" t="n">
        <v>0.9424743649513084</v>
      </c>
      <c r="AA93" s="37" t="n">
        <v>2.385106280261499</v>
      </c>
      <c r="AB93" s="19" t="n">
        <v>-0.128745314066679</v>
      </c>
      <c r="AC93" s="37" t="n">
        <v>-1.147209129436975</v>
      </c>
      <c r="AD93" s="19" t="n">
        <v>-0.4068826030057042</v>
      </c>
      <c r="AE93" s="19" t="n">
        <v>0.06944690666918769</v>
      </c>
      <c r="AF93" s="19" t="n">
        <v>0.1450850394540112</v>
      </c>
      <c r="AG93" s="19" t="n">
        <v>0.16</v>
      </c>
      <c r="AH93" s="37" t="n">
        <v>0</v>
      </c>
      <c r="AI93" s="37" t="n">
        <v>29</v>
      </c>
      <c r="AJ93" s="19" t="n">
        <v>0.8243694593853573</v>
      </c>
    </row>
    <row r="94">
      <c r="A94" s="37" t="n">
        <v>16772</v>
      </c>
      <c r="B94" s="16" t="inlineStr">
        <is>
          <t>Yi Xie、周建胜</t>
        </is>
      </c>
      <c r="C94" s="16" t="inlineStr">
        <is>
          <t>诺德兴新趋势混合A</t>
        </is>
      </c>
      <c r="D94" s="16" t="inlineStr">
        <is>
          <t>基本面优势型：背景条件最高</t>
        </is>
      </c>
      <c r="E94" s="37" t="n">
        <v>16772</v>
      </c>
      <c r="F94" s="38" t="n">
        <v>45839</v>
      </c>
      <c r="G94" s="37" t="n">
        <v>2025</v>
      </c>
      <c r="H94" s="37" t="n">
        <v>2</v>
      </c>
      <c r="I94" s="19" t="n">
        <v>-0.0661694915254239</v>
      </c>
      <c r="J94" s="19" t="n">
        <v>-0.0686694915254239</v>
      </c>
      <c r="K94" s="19" t="n">
        <v>-0.008280608833566299</v>
      </c>
      <c r="L94" s="19" t="n">
        <v>0.2989609142912507</v>
      </c>
      <c r="M94" s="37" t="n"/>
      <c r="N94" s="37" t="n"/>
      <c r="O94" s="37" t="n">
        <v>1</v>
      </c>
      <c r="P94" s="37" t="n">
        <v>1</v>
      </c>
      <c r="Q94" s="37" t="n">
        <v>456.29216646468</v>
      </c>
      <c r="R94" s="37" t="n"/>
      <c r="S94" s="19" t="n">
        <v>0.337298</v>
      </c>
      <c r="T94" s="19" t="n">
        <v>0.051758</v>
      </c>
      <c r="U94" s="19" t="n">
        <v>0.2348399549622003</v>
      </c>
      <c r="V94" s="37" t="n">
        <v>0</v>
      </c>
      <c r="W94" s="37" t="n">
        <v>0</v>
      </c>
      <c r="X94" s="37" t="n">
        <v>0</v>
      </c>
      <c r="Y94" s="19" t="n">
        <v>0.0360834261181918</v>
      </c>
      <c r="Z94" s="19" t="n">
        <v>0.8824987586423592</v>
      </c>
      <c r="AA94" s="37" t="n">
        <v>2.385106280261499</v>
      </c>
      <c r="AB94" s="19" t="n">
        <v>-0.1579842375761308</v>
      </c>
      <c r="AC94" s="37" t="n">
        <v>-1.265507071573938</v>
      </c>
      <c r="AD94" s="19" t="n">
        <v>-0.4754813482652864</v>
      </c>
      <c r="AE94" s="19" t="n">
        <v>0.0696015751506715</v>
      </c>
      <c r="AF94" s="19" t="n">
        <v>-0.0035834957084347</v>
      </c>
      <c r="AG94" s="19" t="n">
        <v>0.14</v>
      </c>
      <c r="AH94" s="37" t="n">
        <v>0</v>
      </c>
      <c r="AI94" s="37" t="n">
        <v>120</v>
      </c>
      <c r="AJ94" s="19" t="n">
        <v>0.9280478888601988</v>
      </c>
    </row>
    <row r="95">
      <c r="A95" s="37" t="n">
        <v>16772</v>
      </c>
      <c r="B95" s="16" t="inlineStr">
        <is>
          <t>Yi Xie、周建胜</t>
        </is>
      </c>
      <c r="C95" s="16" t="inlineStr">
        <is>
          <t>诺德兴新趋势混合A</t>
        </is>
      </c>
      <c r="D95" s="16" t="inlineStr">
        <is>
          <t>基本面优势型：背景条件最高</t>
        </is>
      </c>
      <c r="E95" s="37" t="n">
        <v>16772</v>
      </c>
      <c r="F95" s="38" t="n">
        <v>45931</v>
      </c>
      <c r="G95" s="37" t="n">
        <v>2025</v>
      </c>
      <c r="H95" s="37" t="n">
        <v>3</v>
      </c>
      <c r="I95" s="19" t="n">
        <v>0.5670103092783505</v>
      </c>
      <c r="J95" s="19" t="n">
        <v>0.5645103092783506</v>
      </c>
      <c r="K95" s="19" t="n">
        <v>-0.008280608833566299</v>
      </c>
      <c r="L95" s="19" t="n">
        <v>0.1003864041258343</v>
      </c>
      <c r="M95" s="37" t="n"/>
      <c r="N95" s="37" t="n"/>
      <c r="O95" s="37" t="n"/>
      <c r="P95" s="37" t="n"/>
      <c r="Q95" s="37" t="n">
        <v>456.29216646468</v>
      </c>
      <c r="R95" s="37" t="n"/>
      <c r="S95" s="19" t="n">
        <v>0.505451</v>
      </c>
      <c r="T95" s="19" t="n">
        <v>0.112432</v>
      </c>
      <c r="U95" s="19" t="n">
        <v>0.2348399549622003</v>
      </c>
      <c r="V95" s="37" t="n">
        <v>0</v>
      </c>
      <c r="W95" s="37" t="n"/>
      <c r="X95" s="37" t="n">
        <v>0</v>
      </c>
      <c r="Y95" s="19" t="n">
        <v>0.2238043361177059</v>
      </c>
      <c r="Z95" s="19" t="n">
        <v>0.9725225374496348</v>
      </c>
      <c r="AA95" s="37" t="n">
        <v>2.385106280261499</v>
      </c>
      <c r="AB95" s="19" t="n">
        <v>-0.1592264992179548</v>
      </c>
      <c r="AC95" s="37" t="n">
        <v>-1.273284247711321</v>
      </c>
      <c r="AD95" s="19" t="n">
        <v>-0.4783523929388317</v>
      </c>
      <c r="AE95" s="19" t="n">
        <v>0.2227815490330656</v>
      </c>
      <c r="AF95" s="19" t="n">
        <v>0.0594343584355052</v>
      </c>
      <c r="AG95" s="19" t="n">
        <v>0.16</v>
      </c>
      <c r="AH95" s="37" t="n">
        <v>0</v>
      </c>
      <c r="AI95" s="37" t="n">
        <v>212</v>
      </c>
      <c r="AJ95" s="37" t="n">
        <v>1.022964445356942</v>
      </c>
    </row>
    <row r="96">
      <c r="A96" s="37" t="n">
        <v>16772</v>
      </c>
      <c r="B96" s="16" t="inlineStr">
        <is>
          <t>Yi Xie、周建胜</t>
        </is>
      </c>
      <c r="C96" s="16" t="inlineStr">
        <is>
          <t>诺德兴新趋势混合A</t>
        </is>
      </c>
      <c r="D96" s="16" t="inlineStr">
        <is>
          <t>基本面优势型：背景条件最高</t>
        </is>
      </c>
      <c r="E96" s="37" t="n">
        <v>16772</v>
      </c>
      <c r="F96" s="38" t="n">
        <v>46023</v>
      </c>
      <c r="G96" s="37" t="n">
        <v>2025</v>
      </c>
      <c r="H96" s="37" t="n">
        <v>4</v>
      </c>
      <c r="I96" s="19" t="n">
        <v>0.1693847294292065</v>
      </c>
      <c r="J96" s="19" t="n">
        <v>0.1668847294292065</v>
      </c>
      <c r="K96" s="19" t="n">
        <v>-0.008280608833566299</v>
      </c>
      <c r="L96" s="19" t="n">
        <v>0.2355523750338421</v>
      </c>
      <c r="M96" s="37" t="n"/>
      <c r="N96" s="37" t="n"/>
      <c r="O96" s="37" t="n">
        <v>1</v>
      </c>
      <c r="P96" s="37" t="n">
        <v>1</v>
      </c>
      <c r="Q96" s="37" t="n"/>
      <c r="R96" s="37" t="n"/>
      <c r="S96" s="19" t="n">
        <v>0.279988</v>
      </c>
      <c r="T96" s="19" t="n">
        <v>0.055364</v>
      </c>
      <c r="U96" s="19" t="n">
        <v>0.0675324675324675</v>
      </c>
      <c r="V96" s="37" t="n">
        <v>0</v>
      </c>
      <c r="W96" s="37" t="n">
        <v>0</v>
      </c>
      <c r="X96" s="37" t="n"/>
      <c r="Y96" s="19" t="n">
        <v>0.1920363525756118</v>
      </c>
      <c r="Z96" s="19" t="n">
        <v>0.9885175057036678</v>
      </c>
      <c r="AA96" s="37" t="n">
        <v>2.385106280261499</v>
      </c>
      <c r="AB96" s="19" t="n">
        <v>-0.0036878022156683</v>
      </c>
      <c r="AC96" s="37" t="n">
        <v>1.924765387005892</v>
      </c>
      <c r="AD96" s="19" t="n">
        <v>0.1827895727674518</v>
      </c>
      <c r="AE96" s="19" t="n">
        <v>0.2202671438608779</v>
      </c>
      <c r="AF96" s="19" t="n">
        <v>0.1390908361255238</v>
      </c>
      <c r="AG96" s="19" t="n">
        <v>0.12</v>
      </c>
      <c r="AH96" s="37" t="n">
        <v>0</v>
      </c>
      <c r="AI96" s="37" t="n">
        <v>304</v>
      </c>
      <c r="AJ96" s="37" t="n">
        <v>1.109647684525744</v>
      </c>
    </row>
    <row r="97">
      <c r="A97" s="37" t="n">
        <v>16772</v>
      </c>
      <c r="B97" s="16" t="inlineStr">
        <is>
          <t>Yi Xie、周建胜</t>
        </is>
      </c>
      <c r="C97" s="16" t="inlineStr">
        <is>
          <t>诺德兴新趋势混合A</t>
        </is>
      </c>
      <c r="D97" s="16" t="inlineStr">
        <is>
          <t>基本面优势型：背景条件最高</t>
        </is>
      </c>
      <c r="E97" s="37" t="n">
        <v>16772</v>
      </c>
      <c r="F97" s="38" t="n">
        <v>46113</v>
      </c>
      <c r="G97" s="37" t="n">
        <v>2026</v>
      </c>
      <c r="H97" s="37" t="n">
        <v>1</v>
      </c>
      <c r="I97" s="19" t="n">
        <v>0.0342313787638675</v>
      </c>
      <c r="J97" s="19" t="n">
        <v>0.0317313787638675</v>
      </c>
      <c r="K97" s="19" t="n">
        <v>-0.008280608833566299</v>
      </c>
      <c r="L97" s="19" t="n">
        <v>0.2128019475268301</v>
      </c>
      <c r="M97" s="37" t="n"/>
      <c r="N97" s="37" t="n"/>
      <c r="O97" s="37" t="n"/>
      <c r="P97" s="37" t="n"/>
      <c r="Q97" s="37" t="n"/>
      <c r="R97" s="37" t="n"/>
      <c r="S97" s="19" t="n">
        <v>0.274558</v>
      </c>
      <c r="T97" s="19" t="n">
        <v>0.102764</v>
      </c>
      <c r="U97" s="19" t="n">
        <v>0.0987284020327497</v>
      </c>
      <c r="V97" s="37" t="n">
        <v>0</v>
      </c>
      <c r="W97" s="37" t="n"/>
      <c r="X97" s="37" t="n"/>
      <c r="Y97" s="19" t="n">
        <v>0.1844338212673959</v>
      </c>
      <c r="Z97" s="19" t="n">
        <v>0.9443172913021032</v>
      </c>
      <c r="AA97" s="37" t="n">
        <v>2.385106280261499</v>
      </c>
      <c r="AB97" s="19" t="n">
        <v>0.1141939794393671</v>
      </c>
      <c r="AC97" s="37" t="n">
        <v>3.150379842628496</v>
      </c>
      <c r="AD97" s="19" t="n">
        <v>0.3277796056580795</v>
      </c>
      <c r="AE97" s="19" t="n">
        <v>0.2190752947336218</v>
      </c>
      <c r="AF97" s="19" t="n">
        <v>0.1307671345980341</v>
      </c>
      <c r="AG97" s="19" t="n">
        <v>0.07000000000000001</v>
      </c>
      <c r="AH97" s="37" t="n">
        <v>0</v>
      </c>
      <c r="AI97" s="37" t="n">
        <v>394</v>
      </c>
      <c r="AJ97" s="37" t="n">
        <v>1.187744595893909</v>
      </c>
    </row>
    <row r="98">
      <c r="A98" s="37" t="n">
        <v>16772</v>
      </c>
      <c r="B98" s="16" t="inlineStr">
        <is>
          <t>Yi Xie、周建胜</t>
        </is>
      </c>
      <c r="C98" s="16" t="inlineStr">
        <is>
          <t>诺德兴新趋势混合A</t>
        </is>
      </c>
      <c r="D98" s="16" t="inlineStr">
        <is>
          <t>基本面优势型：背景条件最高</t>
        </is>
      </c>
      <c r="E98" s="37" t="n">
        <v>16772</v>
      </c>
      <c r="F98" s="38" t="n">
        <v>46204</v>
      </c>
      <c r="G98" s="37" t="n">
        <v>2026</v>
      </c>
      <c r="H98" s="37" t="n">
        <v>2</v>
      </c>
      <c r="I98" s="19" t="n">
        <v>0.8571866380631317</v>
      </c>
      <c r="J98" s="37" t="n"/>
      <c r="K98" s="19" t="n">
        <v>-0.008280608833566299</v>
      </c>
      <c r="L98" s="19" t="n">
        <v>0.9860169046441776</v>
      </c>
      <c r="M98" s="37" t="n"/>
      <c r="N98" s="37" t="n"/>
      <c r="O98" s="19" t="n">
        <v>0.7666666666666667</v>
      </c>
      <c r="P98" s="37" t="n"/>
      <c r="Q98" s="37" t="n"/>
      <c r="R98" s="37" t="n"/>
      <c r="S98" s="19" t="n">
        <v>0.231845</v>
      </c>
      <c r="T98" s="19" t="n">
        <v>0.111997</v>
      </c>
      <c r="U98" s="19" t="n">
        <v>0.5324290867666605</v>
      </c>
      <c r="V98" s="37" t="n">
        <v>0</v>
      </c>
      <c r="W98" s="37" t="n"/>
      <c r="X98" s="37" t="n"/>
      <c r="Y98" s="19" t="n">
        <v>0.3025856906539851</v>
      </c>
      <c r="Z98" s="37" t="n">
        <v>1</v>
      </c>
      <c r="AA98" s="37" t="n">
        <v>2.385106280261499</v>
      </c>
      <c r="AB98" s="19" t="n">
        <v>0.1301267523782419</v>
      </c>
      <c r="AC98" s="37" t="n">
        <v>3.322179081062984</v>
      </c>
      <c r="AD98" s="19" t="n">
        <v>0.3475348518463312</v>
      </c>
      <c r="AE98" s="19" t="n">
        <v>0.3442704486325708</v>
      </c>
      <c r="AF98" s="19" t="n">
        <v>0.0768398814675286</v>
      </c>
      <c r="AG98" s="19" t="n">
        <v>0.18</v>
      </c>
      <c r="AH98" s="37" t="n">
        <v>0</v>
      </c>
      <c r="AI98" s="37" t="n">
        <v>485</v>
      </c>
      <c r="AJ98" s="37" t="n">
        <v>1.260957820157702</v>
      </c>
    </row>
    <row r="99">
      <c r="A99" s="37" t="n">
        <v>40008</v>
      </c>
      <c r="B99" s="16" t="inlineStr">
        <is>
          <t>杨明</t>
        </is>
      </c>
      <c r="C99" s="16" t="inlineStr">
        <is>
          <t>华安策略优选混合A</t>
        </is>
      </c>
      <c r="D99" s="16" t="inlineStr">
        <is>
          <t>反例：综合能力最低</t>
        </is>
      </c>
      <c r="E99" s="37" t="n">
        <v>40008</v>
      </c>
      <c r="F99" s="38" t="n">
        <v>43922</v>
      </c>
      <c r="G99" s="37" t="n">
        <v>2020</v>
      </c>
      <c r="H99" s="37" t="n">
        <v>1</v>
      </c>
      <c r="I99" s="19" t="n">
        <v>-0.1026115126059217</v>
      </c>
      <c r="J99" s="19" t="n">
        <v>-0.1051115126059217</v>
      </c>
      <c r="K99" s="19" t="n">
        <v>-0.0035578487745378</v>
      </c>
      <c r="L99" s="19" t="n">
        <v>0.0319989943707031</v>
      </c>
      <c r="M99" s="37" t="n"/>
      <c r="N99" s="37" t="n"/>
      <c r="O99" s="37" t="n"/>
      <c r="P99" s="37" t="n"/>
      <c r="Q99" s="37" t="n">
        <v>346.058397663545</v>
      </c>
      <c r="R99" s="37" t="n"/>
      <c r="S99" s="19" t="n">
        <v>0.095791</v>
      </c>
      <c r="T99" s="19" t="n">
        <v>0.102115</v>
      </c>
      <c r="U99" s="19" t="n">
        <v>0.4393372112441567</v>
      </c>
      <c r="V99" s="37" t="n"/>
      <c r="W99" s="37" t="n"/>
      <c r="X99" s="37" t="n"/>
      <c r="Y99" s="37" t="n"/>
      <c r="Z99" s="19" t="n">
        <v>0.8743354919280788</v>
      </c>
      <c r="AA99" s="19" t="n">
        <v>0.3091271019033598</v>
      </c>
      <c r="AB99" s="37" t="n"/>
      <c r="AC99" s="37" t="n"/>
      <c r="AD99" s="37" t="n"/>
      <c r="AE99" s="37" t="n"/>
      <c r="AF99" s="19" t="n">
        <v>0.1008844794910477</v>
      </c>
      <c r="AG99" s="37" t="n">
        <v>53.28</v>
      </c>
      <c r="AH99" s="37" t="n">
        <v>3.975561026232134</v>
      </c>
      <c r="AI99" s="37" t="n">
        <v>2492</v>
      </c>
      <c r="AJ99" s="37" t="n">
        <v>2.538783660009899</v>
      </c>
    </row>
    <row r="100">
      <c r="A100" s="37" t="n">
        <v>40008</v>
      </c>
      <c r="B100" s="16" t="inlineStr">
        <is>
          <t>杨明</t>
        </is>
      </c>
      <c r="C100" s="16" t="inlineStr">
        <is>
          <t>华安策略优选混合A</t>
        </is>
      </c>
      <c r="D100" s="16" t="inlineStr">
        <is>
          <t>反例：综合能力最低</t>
        </is>
      </c>
      <c r="E100" s="37" t="n">
        <v>40008</v>
      </c>
      <c r="F100" s="38" t="n">
        <v>44013</v>
      </c>
      <c r="G100" s="37" t="n">
        <v>2020</v>
      </c>
      <c r="H100" s="37" t="n">
        <v>2</v>
      </c>
      <c r="I100" s="19" t="n">
        <v>0.2211201929148927</v>
      </c>
      <c r="J100" s="19" t="n">
        <v>0.2186201929148927</v>
      </c>
      <c r="K100" s="19" t="n">
        <v>-0.0035578487745378</v>
      </c>
      <c r="L100" s="19" t="n">
        <v>0.0662176239244375</v>
      </c>
      <c r="M100" s="37" t="n"/>
      <c r="N100" s="37" t="n"/>
      <c r="O100" s="19" t="n">
        <v>0.8095238095238095</v>
      </c>
      <c r="P100" s="19" t="n">
        <v>0.8235294117647058</v>
      </c>
      <c r="Q100" s="37" t="n">
        <v>329.157818603825</v>
      </c>
      <c r="R100" s="37" t="n"/>
      <c r="S100" s="19" t="n">
        <v>0.083311</v>
      </c>
      <c r="T100" s="19" t="n">
        <v>0.048013</v>
      </c>
      <c r="U100" s="19" t="n">
        <v>0.3189228184264787</v>
      </c>
      <c r="V100" s="37" t="n"/>
      <c r="W100" s="19" t="n">
        <v>-0.0140056022408963</v>
      </c>
      <c r="X100" s="37" t="n">
        <v>0</v>
      </c>
      <c r="Y100" s="37" t="n"/>
      <c r="Z100" s="19" t="n">
        <v>0.9652792007177202</v>
      </c>
      <c r="AA100" s="19" t="n">
        <v>0.3091271019033598</v>
      </c>
      <c r="AB100" s="37" t="n"/>
      <c r="AC100" s="37" t="n"/>
      <c r="AD100" s="37" t="n"/>
      <c r="AE100" s="37" t="n"/>
      <c r="AF100" s="19" t="n">
        <v>0.0533364254732087</v>
      </c>
      <c r="AG100" s="37" t="n">
        <v>59.49</v>
      </c>
      <c r="AH100" s="37" t="n">
        <v>4.085808231199814</v>
      </c>
      <c r="AI100" s="37" t="n">
        <v>2583</v>
      </c>
      <c r="AJ100" s="37" t="n">
        <v>2.558264100502776</v>
      </c>
    </row>
    <row r="101">
      <c r="A101" s="37" t="n">
        <v>40008</v>
      </c>
      <c r="B101" s="16" t="inlineStr">
        <is>
          <t>杨明</t>
        </is>
      </c>
      <c r="C101" s="16" t="inlineStr">
        <is>
          <t>华安策略优选混合A</t>
        </is>
      </c>
      <c r="D101" s="16" t="inlineStr">
        <is>
          <t>反例：综合能力最低</t>
        </is>
      </c>
      <c r="E101" s="37" t="n">
        <v>40008</v>
      </c>
      <c r="F101" s="38" t="n">
        <v>44105</v>
      </c>
      <c r="G101" s="37" t="n">
        <v>2020</v>
      </c>
      <c r="H101" s="37" t="n">
        <v>3</v>
      </c>
      <c r="I101" s="19" t="n">
        <v>0.09079467795330461</v>
      </c>
      <c r="J101" s="19" t="n">
        <v>0.0882946779533046</v>
      </c>
      <c r="K101" s="19" t="n">
        <v>-0.0035578487745378</v>
      </c>
      <c r="L101" s="19" t="n">
        <v>0.08833998460501689</v>
      </c>
      <c r="M101" s="37" t="n"/>
      <c r="N101" s="37" t="n"/>
      <c r="O101" s="37" t="n"/>
      <c r="P101" s="37" t="n"/>
      <c r="Q101" s="37" t="n">
        <v>329.157818603825</v>
      </c>
      <c r="R101" s="37" t="n"/>
      <c r="S101" s="19" t="n">
        <v>0.143922</v>
      </c>
      <c r="T101" s="19" t="n">
        <v>0.08989900000000001</v>
      </c>
      <c r="U101" s="19" t="n">
        <v>0.2065097322930631</v>
      </c>
      <c r="V101" s="37" t="n"/>
      <c r="W101" s="37" t="n"/>
      <c r="X101" s="37" t="n">
        <v>0</v>
      </c>
      <c r="Y101" s="37" t="n"/>
      <c r="Z101" s="19" t="n">
        <v>0.9041376044978136</v>
      </c>
      <c r="AA101" s="19" t="n">
        <v>0.3091271019033598</v>
      </c>
      <c r="AB101" s="37" t="n"/>
      <c r="AC101" s="37" t="n"/>
      <c r="AD101" s="37" t="n"/>
      <c r="AE101" s="19" t="n">
        <v>0.1707469972149608</v>
      </c>
      <c r="AF101" s="19" t="n">
        <v>0.1362240011441779</v>
      </c>
      <c r="AG101" s="37" t="n">
        <v>56.1</v>
      </c>
      <c r="AH101" s="37" t="n">
        <v>4.027135812528651</v>
      </c>
      <c r="AI101" s="37" t="n">
        <v>2675</v>
      </c>
      <c r="AJ101" s="37" t="n">
        <v>2.577580258496177</v>
      </c>
    </row>
    <row r="102">
      <c r="A102" s="37" t="n">
        <v>40008</v>
      </c>
      <c r="B102" s="16" t="inlineStr">
        <is>
          <t>杨明</t>
        </is>
      </c>
      <c r="C102" s="16" t="inlineStr">
        <is>
          <t>华安策略优选混合A</t>
        </is>
      </c>
      <c r="D102" s="16" t="inlineStr">
        <is>
          <t>反例：综合能力最低</t>
        </is>
      </c>
      <c r="E102" s="37" t="n">
        <v>40008</v>
      </c>
      <c r="F102" s="38" t="n">
        <v>44197</v>
      </c>
      <c r="G102" s="37" t="n">
        <v>2020</v>
      </c>
      <c r="H102" s="37" t="n">
        <v>4</v>
      </c>
      <c r="I102" s="19" t="n">
        <v>0.1761241021451891</v>
      </c>
      <c r="J102" s="19" t="n">
        <v>0.1736241021451891</v>
      </c>
      <c r="K102" s="19" t="n">
        <v>-0.0035578487745378</v>
      </c>
      <c r="L102" s="19" t="n">
        <v>0.0516535605487728</v>
      </c>
      <c r="M102" s="37" t="n">
        <v>939.17</v>
      </c>
      <c r="N102" s="37" t="n">
        <v>589.5699999999999</v>
      </c>
      <c r="O102" s="19" t="n">
        <v>0.5</v>
      </c>
      <c r="P102" s="19" t="n">
        <v>0.8823529411764706</v>
      </c>
      <c r="Q102" s="37" t="n">
        <v>269.526620149681</v>
      </c>
      <c r="R102" s="37" t="n">
        <v>1</v>
      </c>
      <c r="S102" s="19" t="n">
        <v>0.053001</v>
      </c>
      <c r="T102" s="19" t="n">
        <v>0.035641</v>
      </c>
      <c r="U102" s="19" t="n">
        <v>0.436037983567851</v>
      </c>
      <c r="V102" s="37" t="n"/>
      <c r="W102" s="19" t="n">
        <v>-0.3823529411764705</v>
      </c>
      <c r="X102" s="37" t="n">
        <v>-59.631198454144</v>
      </c>
      <c r="Y102" s="37" t="n"/>
      <c r="Z102" s="19" t="n">
        <v>0.9622879686490772</v>
      </c>
      <c r="AA102" s="19" t="n">
        <v>0.3091271019033598</v>
      </c>
      <c r="AB102" s="37" t="n"/>
      <c r="AC102" s="37" t="n"/>
      <c r="AD102" s="37" t="n"/>
      <c r="AE102" s="19" t="n">
        <v>0.1501585937828861</v>
      </c>
      <c r="AF102" s="19" t="n">
        <v>0.0996863309514681</v>
      </c>
      <c r="AG102" s="37" t="n">
        <v>61.47</v>
      </c>
      <c r="AH102" s="37" t="n">
        <v>4.118549250918918</v>
      </c>
      <c r="AI102" s="37" t="n">
        <v>2767</v>
      </c>
      <c r="AJ102" s="37" t="n">
        <v>2.596530362128062</v>
      </c>
    </row>
    <row r="103">
      <c r="A103" s="37" t="n">
        <v>40008</v>
      </c>
      <c r="B103" s="16" t="inlineStr">
        <is>
          <t>杨明</t>
        </is>
      </c>
      <c r="C103" s="16" t="inlineStr">
        <is>
          <t>华安策略优选混合A</t>
        </is>
      </c>
      <c r="D103" s="16" t="inlineStr">
        <is>
          <t>反例：综合能力最低</t>
        </is>
      </c>
      <c r="E103" s="37" t="n">
        <v>40008</v>
      </c>
      <c r="F103" s="38" t="n">
        <v>44287</v>
      </c>
      <c r="G103" s="37" t="n">
        <v>2021</v>
      </c>
      <c r="H103" s="37" t="n">
        <v>1</v>
      </c>
      <c r="I103" s="19" t="n">
        <v>0.022898276401269</v>
      </c>
      <c r="J103" s="19" t="n">
        <v>0.020398276401269</v>
      </c>
      <c r="K103" s="19" t="n">
        <v>-0.0035578487745378</v>
      </c>
      <c r="L103" s="19" t="n">
        <v>0.0319558124686093</v>
      </c>
      <c r="M103" s="37" t="n"/>
      <c r="N103" s="37" t="n"/>
      <c r="O103" s="37" t="n"/>
      <c r="P103" s="37" t="n"/>
      <c r="Q103" s="37" t="n">
        <v>269.526620149681</v>
      </c>
      <c r="R103" s="37" t="n"/>
      <c r="S103" s="19" t="n">
        <v>0.223722</v>
      </c>
      <c r="T103" s="19" t="n">
        <v>0.08774899999999999</v>
      </c>
      <c r="U103" s="19" t="n">
        <v>0.6123292438918166</v>
      </c>
      <c r="V103" s="37" t="n"/>
      <c r="W103" s="37" t="n"/>
      <c r="X103" s="37" t="n">
        <v>0</v>
      </c>
      <c r="Y103" s="37" t="n"/>
      <c r="Z103" s="19" t="n">
        <v>0.9277169818498294</v>
      </c>
      <c r="AA103" s="19" t="n">
        <v>0.3091271019033598</v>
      </c>
      <c r="AB103" s="19" t="n">
        <v>0.2709668406639923</v>
      </c>
      <c r="AC103" s="37" t="n"/>
      <c r="AD103" s="19" t="n">
        <v>0.6552688317632964</v>
      </c>
      <c r="AE103" s="19" t="n">
        <v>0.1337072769445525</v>
      </c>
      <c r="AF103" s="19" t="n">
        <v>0.0439105201890267</v>
      </c>
      <c r="AG103" s="37" t="n">
        <v>61.28</v>
      </c>
      <c r="AH103" s="37" t="n">
        <v>4.115453525432336</v>
      </c>
      <c r="AI103" s="37" t="n">
        <v>2857</v>
      </c>
      <c r="AJ103" s="37" t="n">
        <v>2.614727386688124</v>
      </c>
    </row>
    <row r="104">
      <c r="A104" s="37" t="n">
        <v>40008</v>
      </c>
      <c r="B104" s="16" t="inlineStr">
        <is>
          <t>杨明</t>
        </is>
      </c>
      <c r="C104" s="16" t="inlineStr">
        <is>
          <t>华安策略优选混合A</t>
        </is>
      </c>
      <c r="D104" s="16" t="inlineStr">
        <is>
          <t>反例：综合能力最低</t>
        </is>
      </c>
      <c r="E104" s="37" t="n">
        <v>40008</v>
      </c>
      <c r="F104" s="38" t="n">
        <v>44378</v>
      </c>
      <c r="G104" s="37" t="n">
        <v>2021</v>
      </c>
      <c r="H104" s="37" t="n">
        <v>2</v>
      </c>
      <c r="I104" s="19" t="n">
        <v>0.0806803475069424</v>
      </c>
      <c r="J104" s="19" t="n">
        <v>0.0781803475069424</v>
      </c>
      <c r="K104" s="19" t="n">
        <v>-0.0035578487745378</v>
      </c>
      <c r="L104" s="19" t="n">
        <v>0.0618929353273431</v>
      </c>
      <c r="M104" s="37" t="n">
        <v>1756.059999999999</v>
      </c>
      <c r="N104" s="37" t="n">
        <v>816.23</v>
      </c>
      <c r="O104" s="19" t="n">
        <v>0.5319148936170213</v>
      </c>
      <c r="P104" s="19" t="n">
        <v>0.8297872340425532</v>
      </c>
      <c r="Q104" s="37" t="n">
        <v>187.714136976937</v>
      </c>
      <c r="R104" s="19" t="n">
        <v>0.9127518921853542</v>
      </c>
      <c r="S104" s="19" t="n">
        <v>0.084857</v>
      </c>
      <c r="T104" s="19" t="n">
        <v>0.048142</v>
      </c>
      <c r="U104" s="19" t="n">
        <v>0.3884678199630703</v>
      </c>
      <c r="V104" s="37" t="n"/>
      <c r="W104" s="19" t="n">
        <v>-0.2978723404255319</v>
      </c>
      <c r="X104" s="37" t="n">
        <v>-81.81248317274398</v>
      </c>
      <c r="Y104" s="37" t="n"/>
      <c r="Z104" s="19" t="n">
        <v>0.9486394488504396</v>
      </c>
      <c r="AA104" s="19" t="n">
        <v>0.3091271019033598</v>
      </c>
      <c r="AB104" s="19" t="n">
        <v>0.2314103678340637</v>
      </c>
      <c r="AC104" s="37" t="n"/>
      <c r="AD104" s="19" t="n">
        <v>0.6169311831227426</v>
      </c>
      <c r="AE104" s="19" t="n">
        <v>0.1195936813382326</v>
      </c>
      <c r="AF104" s="19" t="n">
        <v>0.1164492918722045</v>
      </c>
      <c r="AG104" s="37" t="n">
        <v>67.73999999999999</v>
      </c>
      <c r="AH104" s="37" t="n">
        <v>4.215676847389625</v>
      </c>
      <c r="AI104" s="37" t="n">
        <v>2948</v>
      </c>
      <c r="AJ104" s="37" t="n">
        <v>2.632795981098624</v>
      </c>
    </row>
    <row r="105">
      <c r="A105" s="37" t="n">
        <v>40008</v>
      </c>
      <c r="B105" s="16" t="inlineStr">
        <is>
          <t>杨明</t>
        </is>
      </c>
      <c r="C105" s="16" t="inlineStr">
        <is>
          <t>华安策略优选混合A</t>
        </is>
      </c>
      <c r="D105" s="16" t="inlineStr">
        <is>
          <t>反例：综合能力最低</t>
        </is>
      </c>
      <c r="E105" s="37" t="n">
        <v>40008</v>
      </c>
      <c r="F105" s="38" t="n">
        <v>44470</v>
      </c>
      <c r="G105" s="37" t="n">
        <v>2021</v>
      </c>
      <c r="H105" s="37" t="n">
        <v>3</v>
      </c>
      <c r="I105" s="19" t="n">
        <v>-0.0445504719355622</v>
      </c>
      <c r="J105" s="19" t="n">
        <v>-0.0470504719355622</v>
      </c>
      <c r="K105" s="19" t="n">
        <v>-0.0035578487745378</v>
      </c>
      <c r="L105" s="19" t="n">
        <v>0.0571151899376003</v>
      </c>
      <c r="M105" s="37" t="n"/>
      <c r="N105" s="37" t="n"/>
      <c r="O105" s="37" t="n"/>
      <c r="P105" s="37" t="n"/>
      <c r="Q105" s="37" t="n">
        <v>187.714136976937</v>
      </c>
      <c r="R105" s="37" t="n"/>
      <c r="S105" s="19" t="n">
        <v>0.127705</v>
      </c>
      <c r="T105" s="19" t="n">
        <v>0.102883</v>
      </c>
      <c r="U105" s="19" t="n">
        <v>0.2842389272340349</v>
      </c>
      <c r="V105" s="37" t="n"/>
      <c r="W105" s="37" t="n"/>
      <c r="X105" s="37" t="n">
        <v>0</v>
      </c>
      <c r="Y105" s="19" t="n">
        <v>0.0346947279307169</v>
      </c>
      <c r="Z105" s="19" t="n">
        <v>0.888958058383716</v>
      </c>
      <c r="AA105" s="19" t="n">
        <v>0.3091271019033598</v>
      </c>
      <c r="AB105" s="19" t="n">
        <v>0.2427406990190901</v>
      </c>
      <c r="AC105" s="37" t="n"/>
      <c r="AD105" s="19" t="n">
        <v>0.6883157479334435</v>
      </c>
      <c r="AE105" s="19" t="n">
        <v>0.1187916158994848</v>
      </c>
      <c r="AF105" s="19" t="n">
        <v>0.0017784895551745</v>
      </c>
      <c r="AG105" s="37" t="n">
        <v>71.95999999999999</v>
      </c>
      <c r="AH105" s="37" t="n">
        <v>4.276110409082333</v>
      </c>
      <c r="AI105" s="37" t="n">
        <v>3040</v>
      </c>
      <c r="AJ105" s="37" t="n">
        <v>2.650737179964489</v>
      </c>
    </row>
    <row r="106">
      <c r="A106" s="37" t="n">
        <v>40008</v>
      </c>
      <c r="B106" s="16" t="inlineStr">
        <is>
          <t>杨明</t>
        </is>
      </c>
      <c r="C106" s="16" t="inlineStr">
        <is>
          <t>华安策略优选混合A</t>
        </is>
      </c>
      <c r="D106" s="16" t="inlineStr">
        <is>
          <t>反例：综合能力最低</t>
        </is>
      </c>
      <c r="E106" s="37" t="n">
        <v>40008</v>
      </c>
      <c r="F106" s="38" t="n">
        <v>44562</v>
      </c>
      <c r="G106" s="37" t="n">
        <v>2021</v>
      </c>
      <c r="H106" s="37" t="n">
        <v>4</v>
      </c>
      <c r="I106" s="19" t="n">
        <v>-0.0172567779340875</v>
      </c>
      <c r="J106" s="19" t="n">
        <v>-0.0197567779340875</v>
      </c>
      <c r="K106" s="19" t="n">
        <v>-0.0035578487745378</v>
      </c>
      <c r="L106" s="19" t="n">
        <v>0.0057768615110705</v>
      </c>
      <c r="M106" s="37" t="n">
        <v>302.59</v>
      </c>
      <c r="N106" s="37" t="n">
        <v>1811.25</v>
      </c>
      <c r="O106" s="19" t="n">
        <v>0.8153846153846154</v>
      </c>
      <c r="P106" s="19" t="n">
        <v>0.8142857142857143</v>
      </c>
      <c r="Q106" s="37" t="n">
        <v>143.546021441724</v>
      </c>
      <c r="R106" s="19" t="n">
        <v>0.9397601074092844</v>
      </c>
      <c r="S106" s="19" t="n">
        <v>0.094389</v>
      </c>
      <c r="T106" s="19" t="n">
        <v>0.043191</v>
      </c>
      <c r="U106" s="19" t="n">
        <v>0.3542975348070484</v>
      </c>
      <c r="V106" s="37" t="n"/>
      <c r="W106" s="19" t="n">
        <v>0.001098901098901</v>
      </c>
      <c r="X106" s="37" t="n">
        <v>0</v>
      </c>
      <c r="Y106" s="19" t="n">
        <v>0.0287767936339558</v>
      </c>
      <c r="Z106" s="19" t="n">
        <v>0.8359733288130133</v>
      </c>
      <c r="AA106" s="19" t="n">
        <v>0.3091271019033598</v>
      </c>
      <c r="AB106" s="19" t="n">
        <v>0.1744958698264401</v>
      </c>
      <c r="AC106" s="37" t="n"/>
      <c r="AD106" s="19" t="n">
        <v>0.5299293234370404</v>
      </c>
      <c r="AE106" s="19" t="n">
        <v>0.1134461307865157</v>
      </c>
      <c r="AF106" s="19" t="n">
        <v>0.0504303728466903</v>
      </c>
      <c r="AG106" s="37" t="n">
        <v>63.3</v>
      </c>
      <c r="AH106" s="37" t="n">
        <v>4.147885329150131</v>
      </c>
      <c r="AI106" s="37" t="n">
        <v>3132</v>
      </c>
      <c r="AJ106" s="37" t="n">
        <v>2.668362157274769</v>
      </c>
    </row>
    <row r="107">
      <c r="A107" s="37" t="n">
        <v>40008</v>
      </c>
      <c r="B107" s="16" t="inlineStr">
        <is>
          <t>杨明</t>
        </is>
      </c>
      <c r="C107" s="16" t="inlineStr">
        <is>
          <t>华安策略优选混合A</t>
        </is>
      </c>
      <c r="D107" s="16" t="inlineStr">
        <is>
          <t>反例：综合能力最低</t>
        </is>
      </c>
      <c r="E107" s="37" t="n">
        <v>40008</v>
      </c>
      <c r="F107" s="38" t="n">
        <v>44652</v>
      </c>
      <c r="G107" s="37" t="n">
        <v>2022</v>
      </c>
      <c r="H107" s="37" t="n">
        <v>1</v>
      </c>
      <c r="I107" s="19" t="n">
        <v>-0.159777073902128</v>
      </c>
      <c r="J107" s="19" t="n">
        <v>-0.162277073902128</v>
      </c>
      <c r="K107" s="19" t="n">
        <v>-0.0035578487745378</v>
      </c>
      <c r="L107" s="19" t="n">
        <v>0.0361479230208425</v>
      </c>
      <c r="M107" s="37" t="n"/>
      <c r="N107" s="37" t="n"/>
      <c r="O107" s="37" t="n"/>
      <c r="P107" s="37" t="n"/>
      <c r="Q107" s="37" t="n">
        <v>143.546021441724</v>
      </c>
      <c r="R107" s="37" t="n"/>
      <c r="S107" s="19" t="n">
        <v>0.141409</v>
      </c>
      <c r="T107" s="19" t="n">
        <v>0.09486600000000001</v>
      </c>
      <c r="U107" s="19" t="n">
        <v>0.6120624211360011</v>
      </c>
      <c r="V107" s="37" t="n"/>
      <c r="W107" s="37" t="n"/>
      <c r="X107" s="37" t="n">
        <v>0</v>
      </c>
      <c r="Y107" s="19" t="n">
        <v>0.0091289027452985</v>
      </c>
      <c r="Z107" s="19" t="n">
        <v>0.7368074920566514</v>
      </c>
      <c r="AA107" s="19" t="n">
        <v>0.3091271019033598</v>
      </c>
      <c r="AB107" s="19" t="n">
        <v>0.1409091737581687</v>
      </c>
      <c r="AC107" s="37" t="n">
        <v>1.167647928461948</v>
      </c>
      <c r="AD107" s="19" t="n">
        <v>0.4613919912739391</v>
      </c>
      <c r="AE107" s="19" t="n">
        <v>0.1231270177086577</v>
      </c>
      <c r="AF107" s="19" t="n">
        <v>0.1128482322590394</v>
      </c>
      <c r="AG107" s="37" t="n">
        <v>52.72</v>
      </c>
      <c r="AH107" s="37" t="n">
        <v>3.964994890194252</v>
      </c>
      <c r="AI107" s="37" t="n">
        <v>3222</v>
      </c>
      <c r="AJ107" s="37" t="n">
        <v>2.685308524029577</v>
      </c>
    </row>
    <row r="108">
      <c r="A108" s="37" t="n">
        <v>40008</v>
      </c>
      <c r="B108" s="16" t="inlineStr">
        <is>
          <t>杨明</t>
        </is>
      </c>
      <c r="C108" s="16" t="inlineStr">
        <is>
          <t>华安策略优选混合A</t>
        </is>
      </c>
      <c r="D108" s="16" t="inlineStr">
        <is>
          <t>反例：综合能力最低</t>
        </is>
      </c>
      <c r="E108" s="37" t="n">
        <v>40008</v>
      </c>
      <c r="F108" s="38" t="n">
        <v>44743</v>
      </c>
      <c r="G108" s="37" t="n">
        <v>2022</v>
      </c>
      <c r="H108" s="37" t="n">
        <v>2</v>
      </c>
      <c r="I108" s="19" t="n">
        <v>0.0294103664351959</v>
      </c>
      <c r="J108" s="19" t="n">
        <v>0.0269103664351959</v>
      </c>
      <c r="K108" s="19" t="n">
        <v>-0.0035578487745378</v>
      </c>
      <c r="L108" s="19" t="n">
        <v>0.0287815711449622</v>
      </c>
      <c r="M108" s="37" t="n">
        <v>949.33</v>
      </c>
      <c r="N108" s="37" t="n">
        <v>251.39</v>
      </c>
      <c r="O108" s="19" t="n">
        <v>0.6363636363636364</v>
      </c>
      <c r="P108" s="19" t="n">
        <v>0.6282051282051282</v>
      </c>
      <c r="Q108" s="37" t="n">
        <v>191.130505908768</v>
      </c>
      <c r="R108" s="19" t="n">
        <v>0.8346331901405513</v>
      </c>
      <c r="S108" s="19" t="n">
        <v>0.064419</v>
      </c>
      <c r="T108" s="19" t="n">
        <v>0.036647</v>
      </c>
      <c r="U108" s="19" t="n">
        <v>0.6334445308366361</v>
      </c>
      <c r="V108" s="19" t="n">
        <v>0.10706322395104</v>
      </c>
      <c r="W108" s="19" t="n">
        <v>0.008158508158508101</v>
      </c>
      <c r="X108" s="37" t="n">
        <v>0</v>
      </c>
      <c r="Y108" s="19" t="n">
        <v>-0.0067559561724035</v>
      </c>
      <c r="Z108" s="19" t="n">
        <v>0.6792762216575082</v>
      </c>
      <c r="AA108" s="19" t="n">
        <v>0.3091271019033598</v>
      </c>
      <c r="AB108" s="19" t="n">
        <v>0.09435278363271959</v>
      </c>
      <c r="AC108" s="19" t="n">
        <v>0.5784047027215877</v>
      </c>
      <c r="AD108" s="19" t="n">
        <v>0.3557520171373631</v>
      </c>
      <c r="AE108" s="19" t="n">
        <v>0.1008504514069401</v>
      </c>
      <c r="AF108" s="19" t="n">
        <v>0.0290063416470143</v>
      </c>
      <c r="AG108" s="37" t="n">
        <v>54.1</v>
      </c>
      <c r="AH108" s="37" t="n">
        <v>3.990834185852436</v>
      </c>
      <c r="AI108" s="37" t="n">
        <v>3313</v>
      </c>
      <c r="AJ108" s="37" t="n">
        <v>2.702156094602189</v>
      </c>
    </row>
    <row r="109">
      <c r="A109" s="37" t="n">
        <v>40008</v>
      </c>
      <c r="B109" s="16" t="inlineStr">
        <is>
          <t>杨明</t>
        </is>
      </c>
      <c r="C109" s="16" t="inlineStr">
        <is>
          <t>华安策略优选混合A</t>
        </is>
      </c>
      <c r="D109" s="16" t="inlineStr">
        <is>
          <t>反例：综合能力最低</t>
        </is>
      </c>
      <c r="E109" s="37" t="n">
        <v>40008</v>
      </c>
      <c r="F109" s="38" t="n">
        <v>44835</v>
      </c>
      <c r="G109" s="37" t="n">
        <v>2022</v>
      </c>
      <c r="H109" s="37" t="n">
        <v>3</v>
      </c>
      <c r="I109" s="19" t="n">
        <v>-0.1573095977200738</v>
      </c>
      <c r="J109" s="19" t="n">
        <v>-0.1598095977200738</v>
      </c>
      <c r="K109" s="19" t="n">
        <v>-0.0035578487745378</v>
      </c>
      <c r="L109" s="19" t="n">
        <v>0.025160406257909</v>
      </c>
      <c r="M109" s="37" t="n"/>
      <c r="N109" s="37" t="n"/>
      <c r="O109" s="37" t="n"/>
      <c r="P109" s="37" t="n"/>
      <c r="Q109" s="37" t="n">
        <v>191.130505908768</v>
      </c>
      <c r="R109" s="37" t="n"/>
      <c r="S109" s="19" t="n">
        <v>0.100373</v>
      </c>
      <c r="T109" s="19" t="n">
        <v>0.078099</v>
      </c>
      <c r="U109" s="19" t="n">
        <v>0.3580595599326635</v>
      </c>
      <c r="V109" s="19" t="n">
        <v>0.315612920332025</v>
      </c>
      <c r="W109" s="37" t="n"/>
      <c r="X109" s="37" t="n">
        <v>0</v>
      </c>
      <c r="Y109" s="19" t="n">
        <v>-0.0032232310788541</v>
      </c>
      <c r="Z109" s="19" t="n">
        <v>0.711667005784603</v>
      </c>
      <c r="AA109" s="19" t="n">
        <v>0.3091271019033598</v>
      </c>
      <c r="AB109" s="19" t="n">
        <v>0.0236984466484072</v>
      </c>
      <c r="AC109" s="19" t="n">
        <v>0.2616180607090291</v>
      </c>
      <c r="AD109" s="19" t="n">
        <v>0.1965079711275222</v>
      </c>
      <c r="AE109" s="19" t="n">
        <v>0.114050314164774</v>
      </c>
      <c r="AF109" s="19" t="n">
        <v>0.0744706409643712</v>
      </c>
      <c r="AG109" s="37" t="n">
        <v>45.17</v>
      </c>
      <c r="AH109" s="37" t="n">
        <v>3.810433149666513</v>
      </c>
      <c r="AI109" s="37" t="n">
        <v>3405</v>
      </c>
      <c r="AJ109" s="37" t="n">
        <v>2.718905075251619</v>
      </c>
    </row>
    <row r="110">
      <c r="A110" s="37" t="n">
        <v>40008</v>
      </c>
      <c r="B110" s="16" t="inlineStr">
        <is>
          <t>杨明</t>
        </is>
      </c>
      <c r="C110" s="16" t="inlineStr">
        <is>
          <t>华安策略优选混合A</t>
        </is>
      </c>
      <c r="D110" s="16" t="inlineStr">
        <is>
          <t>反例：综合能力最低</t>
        </is>
      </c>
      <c r="E110" s="37" t="n">
        <v>40008</v>
      </c>
      <c r="F110" s="38" t="n">
        <v>44927</v>
      </c>
      <c r="G110" s="37" t="n">
        <v>2022</v>
      </c>
      <c r="H110" s="37" t="n">
        <v>4</v>
      </c>
      <c r="I110" s="19" t="n">
        <v>0.0254815772057781</v>
      </c>
      <c r="J110" s="19" t="n">
        <v>0.0229815772057781</v>
      </c>
      <c r="K110" s="19" t="n">
        <v>-0.0035578487745378</v>
      </c>
      <c r="L110" s="19" t="n">
        <v>0.1868546025336717</v>
      </c>
      <c r="M110" s="37" t="n">
        <v>625.99</v>
      </c>
      <c r="N110" s="37" t="n">
        <v>1067.02</v>
      </c>
      <c r="O110" s="19" t="n">
        <v>0.4782608695652174</v>
      </c>
      <c r="P110" s="19" t="n">
        <v>0.8431372549019608</v>
      </c>
      <c r="Q110" s="37" t="n">
        <v>150.967192548025</v>
      </c>
      <c r="R110" s="19" t="n">
        <v>0.9985137390668404</v>
      </c>
      <c r="S110" s="19" t="n">
        <v>0.061231</v>
      </c>
      <c r="T110" s="19" t="n">
        <v>0.033397</v>
      </c>
      <c r="U110" s="19" t="n">
        <v>0.2352041441311891</v>
      </c>
      <c r="V110" s="19" t="n">
        <v>0.3423739287921963</v>
      </c>
      <c r="W110" s="19" t="n">
        <v>-0.3648763853367434</v>
      </c>
      <c r="X110" s="37" t="n">
        <v>0</v>
      </c>
      <c r="Y110" s="19" t="n">
        <v>-0.0408374055814669</v>
      </c>
      <c r="Z110" s="19" t="n">
        <v>0.6897796512991592</v>
      </c>
      <c r="AA110" s="19" t="n">
        <v>0.3091271019033598</v>
      </c>
      <c r="AB110" s="19" t="n">
        <v>-0.1156773524738368</v>
      </c>
      <c r="AC110" s="19" t="n">
        <v>-0.1505636570139242</v>
      </c>
      <c r="AD110" s="19" t="n">
        <v>-0.09850063788848069</v>
      </c>
      <c r="AE110" s="19" t="n">
        <v>0.0887473956157242</v>
      </c>
      <c r="AF110" s="19" t="n">
        <v>0.0485459972130247</v>
      </c>
      <c r="AG110" s="37" t="n">
        <v>44.57</v>
      </c>
      <c r="AH110" s="37" t="n">
        <v>3.797060986958464</v>
      </c>
      <c r="AI110" s="37" t="n">
        <v>3497</v>
      </c>
      <c r="AJ110" s="37" t="n">
        <v>2.735378142473133</v>
      </c>
    </row>
    <row r="111">
      <c r="A111" s="37" t="n">
        <v>40008</v>
      </c>
      <c r="B111" s="16" t="inlineStr">
        <is>
          <t>杨明</t>
        </is>
      </c>
      <c r="C111" s="16" t="inlineStr">
        <is>
          <t>华安策略优选混合A</t>
        </is>
      </c>
      <c r="D111" s="16" t="inlineStr">
        <is>
          <t>反例：综合能力最低</t>
        </is>
      </c>
      <c r="E111" s="37" t="n">
        <v>40008</v>
      </c>
      <c r="F111" s="38" t="n">
        <v>45017</v>
      </c>
      <c r="G111" s="37" t="n">
        <v>2023</v>
      </c>
      <c r="H111" s="37" t="n">
        <v>1</v>
      </c>
      <c r="I111" s="19" t="n">
        <v>-0.017097641136734</v>
      </c>
      <c r="J111" s="19" t="n">
        <v>-0.019597641136734</v>
      </c>
      <c r="K111" s="19" t="n">
        <v>-0.0035578487745378</v>
      </c>
      <c r="L111" s="19" t="n">
        <v>0.0357992557431101</v>
      </c>
      <c r="M111" s="37" t="n"/>
      <c r="N111" s="37" t="n"/>
      <c r="O111" s="37" t="n"/>
      <c r="P111" s="37" t="n"/>
      <c r="Q111" s="37" t="n">
        <v>150.967192548025</v>
      </c>
      <c r="R111" s="37" t="n"/>
      <c r="S111" s="19" t="n">
        <v>0.131857</v>
      </c>
      <c r="T111" s="19" t="n">
        <v>0.08533200000000001</v>
      </c>
      <c r="U111" s="19" t="n">
        <v>0.3723458787713439</v>
      </c>
      <c r="V111" s="19" t="n">
        <v>0.0943680786363606</v>
      </c>
      <c r="W111" s="37" t="n"/>
      <c r="X111" s="37" t="n">
        <v>0</v>
      </c>
      <c r="Y111" s="19" t="n">
        <v>-0.0405637227021052</v>
      </c>
      <c r="Z111" s="19" t="n">
        <v>0.6799427752364201</v>
      </c>
      <c r="AA111" s="19" t="n">
        <v>0.3091271019033598</v>
      </c>
      <c r="AB111" s="19" t="n">
        <v>-0.1690243401265436</v>
      </c>
      <c r="AC111" s="19" t="n">
        <v>-0.4031931961760839</v>
      </c>
      <c r="AD111" s="19" t="n">
        <v>-0.3389434913018166</v>
      </c>
      <c r="AE111" s="19" t="n">
        <v>0.08657936175683589</v>
      </c>
      <c r="AF111" s="19" t="n">
        <v>0.0324037076339195</v>
      </c>
      <c r="AG111" s="37" t="n">
        <v>42.97</v>
      </c>
      <c r="AH111" s="37" t="n">
        <v>3.760502197786904</v>
      </c>
      <c r="AI111" s="37" t="n">
        <v>3587</v>
      </c>
      <c r="AJ111" s="37" t="n">
        <v>2.751234711487043</v>
      </c>
    </row>
    <row r="112">
      <c r="A112" s="37" t="n">
        <v>40008</v>
      </c>
      <c r="B112" s="16" t="inlineStr">
        <is>
          <t>杨明</t>
        </is>
      </c>
      <c r="C112" s="16" t="inlineStr">
        <is>
          <t>华安策略优选混合A</t>
        </is>
      </c>
      <c r="D112" s="16" t="inlineStr">
        <is>
          <t>反例：综合能力最低</t>
        </is>
      </c>
      <c r="E112" s="37" t="n">
        <v>40008</v>
      </c>
      <c r="F112" s="38" t="n">
        <v>45108</v>
      </c>
      <c r="G112" s="37" t="n">
        <v>2023</v>
      </c>
      <c r="H112" s="37" t="n">
        <v>2</v>
      </c>
      <c r="I112" s="19" t="n">
        <v>-0.0926187812815914</v>
      </c>
      <c r="J112" s="19" t="n">
        <v>-0.0951187812815914</v>
      </c>
      <c r="K112" s="19" t="n">
        <v>-0.0035578487745378</v>
      </c>
      <c r="L112" s="19" t="n">
        <v>0.0750803143608831</v>
      </c>
      <c r="M112" s="37" t="n">
        <v>979.33</v>
      </c>
      <c r="N112" s="37" t="n">
        <v>625.75</v>
      </c>
      <c r="O112" s="19" t="n">
        <v>0.8095238095238095</v>
      </c>
      <c r="P112" s="19" t="n">
        <v>0.7073170731707317</v>
      </c>
      <c r="Q112" s="37" t="n">
        <v>118.58866939686</v>
      </c>
      <c r="R112" s="19" t="n">
        <v>0.998134421173076</v>
      </c>
      <c r="S112" s="19" t="n">
        <v>0.073698</v>
      </c>
      <c r="T112" s="19" t="n">
        <v>0.038338</v>
      </c>
      <c r="U112" s="19" t="n">
        <v>0.08173587039094229</v>
      </c>
      <c r="V112" s="19" t="n">
        <v>0.4487990373357025</v>
      </c>
      <c r="W112" s="19" t="n">
        <v>0.1022067363530778</v>
      </c>
      <c r="X112" s="37" t="n">
        <v>0</v>
      </c>
      <c r="Y112" s="19" t="n">
        <v>-0.0581622099070516</v>
      </c>
      <c r="Z112" s="19" t="n">
        <v>0.6599262079964521</v>
      </c>
      <c r="AA112" s="19" t="n">
        <v>0.3091271019033598</v>
      </c>
      <c r="AB112" s="19" t="n">
        <v>-0.1872650366960968</v>
      </c>
      <c r="AC112" s="19" t="n">
        <v>-0.4782440422197945</v>
      </c>
      <c r="AD112" s="19" t="n">
        <v>-0.4051510062389065</v>
      </c>
      <c r="AE112" s="19" t="n">
        <v>0.0751341280984517</v>
      </c>
      <c r="AF112" s="19" t="n">
        <v>0.07066251042986731</v>
      </c>
      <c r="AG112" s="37" t="n">
        <v>38.34</v>
      </c>
      <c r="AH112" s="37" t="n">
        <v>3.646493737617499</v>
      </c>
      <c r="AI112" s="37" t="n">
        <v>3678</v>
      </c>
      <c r="AJ112" s="37" t="n">
        <v>2.767015841908688</v>
      </c>
    </row>
    <row r="113">
      <c r="A113" s="37" t="n">
        <v>40008</v>
      </c>
      <c r="B113" s="16" t="inlineStr">
        <is>
          <t>杨明</t>
        </is>
      </c>
      <c r="C113" s="16" t="inlineStr">
        <is>
          <t>华安策略优选混合A</t>
        </is>
      </c>
      <c r="D113" s="16" t="inlineStr">
        <is>
          <t>反例：综合能力最低</t>
        </is>
      </c>
      <c r="E113" s="37" t="n">
        <v>40008</v>
      </c>
      <c r="F113" s="38" t="n">
        <v>45200</v>
      </c>
      <c r="G113" s="37" t="n">
        <v>2023</v>
      </c>
      <c r="H113" s="37" t="n">
        <v>3</v>
      </c>
      <c r="I113" s="19" t="n">
        <v>-0.0390509321172692</v>
      </c>
      <c r="J113" s="19" t="n">
        <v>-0.0415509321172692</v>
      </c>
      <c r="K113" s="19" t="n">
        <v>-0.0035578487745378</v>
      </c>
      <c r="L113" s="19" t="n">
        <v>0.009696169804566701</v>
      </c>
      <c r="M113" s="37" t="n"/>
      <c r="N113" s="37" t="n"/>
      <c r="O113" s="37" t="n"/>
      <c r="P113" s="37" t="n"/>
      <c r="Q113" s="37" t="n">
        <v>118.58866939686</v>
      </c>
      <c r="R113" s="37" t="n"/>
      <c r="S113" s="19" t="n">
        <v>0.06608700000000001</v>
      </c>
      <c r="T113" s="19" t="n">
        <v>0.086502</v>
      </c>
      <c r="U113" s="19" t="n">
        <v>0.1962610951043529</v>
      </c>
      <c r="V113" s="19" t="n">
        <v>0.0238759618110417</v>
      </c>
      <c r="W113" s="37" t="n"/>
      <c r="X113" s="37" t="n">
        <v>0</v>
      </c>
      <c r="Y113" s="19" t="n">
        <v>-0.0587702307239594</v>
      </c>
      <c r="Z113" s="19" t="n">
        <v>0.6808618725387237</v>
      </c>
      <c r="AA113" s="19" t="n">
        <v>0.3091271019033598</v>
      </c>
      <c r="AB113" s="19" t="n">
        <v>-0.267607390967169</v>
      </c>
      <c r="AC113" s="19" t="n">
        <v>-0.8621277822501059</v>
      </c>
      <c r="AD113" s="19" t="n">
        <v>-0.7556845454324487</v>
      </c>
      <c r="AE113" s="19" t="n">
        <v>0.0752616951835685</v>
      </c>
      <c r="AF113" s="19" t="n">
        <v>0.010070036416324</v>
      </c>
      <c r="AG113" s="37" t="n">
        <v>34.8</v>
      </c>
      <c r="AH113" s="37" t="n">
        <v>3.549617386780429</v>
      </c>
      <c r="AI113" s="37" t="n">
        <v>3770</v>
      </c>
      <c r="AJ113" s="37" t="n">
        <v>2.782721183498823</v>
      </c>
    </row>
    <row r="114">
      <c r="A114" s="37" t="n">
        <v>40008</v>
      </c>
      <c r="B114" s="16" t="inlineStr">
        <is>
          <t>杨明</t>
        </is>
      </c>
      <c r="C114" s="16" t="inlineStr">
        <is>
          <t>华安策略优选混合A</t>
        </is>
      </c>
      <c r="D114" s="16" t="inlineStr">
        <is>
          <t>反例：综合能力最低</t>
        </is>
      </c>
      <c r="E114" s="37" t="n">
        <v>40008</v>
      </c>
      <c r="F114" s="38" t="n">
        <v>45292</v>
      </c>
      <c r="G114" s="37" t="n">
        <v>2023</v>
      </c>
      <c r="H114" s="37" t="n">
        <v>4</v>
      </c>
      <c r="I114" s="19" t="n">
        <v>-0.0479807631394612</v>
      </c>
      <c r="J114" s="19" t="n">
        <v>-0.0504807631394612</v>
      </c>
      <c r="K114" s="19" t="n">
        <v>-0.0035578487745378</v>
      </c>
      <c r="L114" s="19" t="n">
        <v>0.0469497197964229</v>
      </c>
      <c r="M114" s="37" t="n">
        <v>567.0699999999999</v>
      </c>
      <c r="N114" s="37" t="n">
        <v>897.4000000000001</v>
      </c>
      <c r="O114" s="19" t="n">
        <v>0.7391304347826086</v>
      </c>
      <c r="P114" s="19" t="n">
        <v>0.7115384615384616</v>
      </c>
      <c r="Q114" s="37" t="n">
        <v>159.879533753418</v>
      </c>
      <c r="R114" s="19" t="n">
        <v>0.8977153610857399</v>
      </c>
      <c r="S114" s="19" t="n">
        <v>0.07201200000000001</v>
      </c>
      <c r="T114" s="19" t="n">
        <v>0.040127</v>
      </c>
      <c r="U114" s="19" t="n">
        <v>0.2583612286771299</v>
      </c>
      <c r="V114" s="19" t="n">
        <v>0.5916021587790763</v>
      </c>
      <c r="W114" s="19" t="n">
        <v>0.027591973244147</v>
      </c>
      <c r="X114" s="37" t="n">
        <v>0</v>
      </c>
      <c r="Y114" s="19" t="n">
        <v>-0.0543658864273777</v>
      </c>
      <c r="Z114" s="19" t="n">
        <v>0.7277500115206329</v>
      </c>
      <c r="AA114" s="19" t="n">
        <v>0.3091271019033598</v>
      </c>
      <c r="AB114" s="19" t="n">
        <v>-0.2648576420781288</v>
      </c>
      <c r="AC114" s="19" t="n">
        <v>-0.8433223454806325</v>
      </c>
      <c r="AD114" s="19" t="n">
        <v>-0.7452711815202301</v>
      </c>
      <c r="AE114" s="19" t="n">
        <v>0.0739242635947719</v>
      </c>
      <c r="AF114" s="19" t="n">
        <v>0.0517235334213117</v>
      </c>
      <c r="AG114" s="37" t="n">
        <v>32.4</v>
      </c>
      <c r="AH114" s="37" t="n">
        <v>3.478158422798284</v>
      </c>
      <c r="AI114" s="37" t="n">
        <v>3862</v>
      </c>
      <c r="AJ114" s="37" t="n">
        <v>2.798183676441003</v>
      </c>
    </row>
    <row r="115">
      <c r="A115" s="37" t="n">
        <v>40008</v>
      </c>
      <c r="B115" s="16" t="inlineStr">
        <is>
          <t>杨明</t>
        </is>
      </c>
      <c r="C115" s="16" t="inlineStr">
        <is>
          <t>华安策略优选混合A</t>
        </is>
      </c>
      <c r="D115" s="16" t="inlineStr">
        <is>
          <t>反例：综合能力最低</t>
        </is>
      </c>
      <c r="E115" s="37" t="n">
        <v>40008</v>
      </c>
      <c r="F115" s="38" t="n">
        <v>45383</v>
      </c>
      <c r="G115" s="37" t="n">
        <v>2024</v>
      </c>
      <c r="H115" s="37" t="n">
        <v>1</v>
      </c>
      <c r="I115" s="19" t="n">
        <v>0.0389245910628963</v>
      </c>
      <c r="J115" s="19" t="n">
        <v>0.0364245910628963</v>
      </c>
      <c r="K115" s="19" t="n">
        <v>-0.0035578487745378</v>
      </c>
      <c r="L115" s="19" t="n">
        <v>0.0464423579284768</v>
      </c>
      <c r="M115" s="37" t="n"/>
      <c r="N115" s="37" t="n"/>
      <c r="O115" s="37" t="n"/>
      <c r="P115" s="37" t="n"/>
      <c r="Q115" s="37" t="n">
        <v>159.879533753418</v>
      </c>
      <c r="R115" s="37" t="n"/>
      <c r="S115" s="19" t="n">
        <v>0.074445</v>
      </c>
      <c r="T115" s="19" t="n">
        <v>0.084513</v>
      </c>
      <c r="U115" s="19" t="n">
        <v>0.1488596342053917</v>
      </c>
      <c r="V115" s="19" t="n">
        <v>0.2994948768595691</v>
      </c>
      <c r="W115" s="37" t="n"/>
      <c r="X115" s="37" t="n">
        <v>0</v>
      </c>
      <c r="Y115" s="19" t="n">
        <v>-0.0441107112006362</v>
      </c>
      <c r="Z115" s="19" t="n">
        <v>0.8075662702755504</v>
      </c>
      <c r="AA115" s="19" t="n">
        <v>0.3091271019033598</v>
      </c>
      <c r="AB115" s="19" t="n">
        <v>-0.2797482207287872</v>
      </c>
      <c r="AC115" s="19" t="n">
        <v>-0.971994650297067</v>
      </c>
      <c r="AD115" s="19" t="n">
        <v>-0.8108629476495179</v>
      </c>
      <c r="AE115" s="19" t="n">
        <v>0.0676398263183773</v>
      </c>
      <c r="AF115" s="19" t="n">
        <v>0.109561763886132</v>
      </c>
      <c r="AG115" s="37" t="n">
        <v>33.49</v>
      </c>
      <c r="AH115" s="37" t="n">
        <v>3.511246886806113</v>
      </c>
      <c r="AI115" s="37" t="n">
        <v>3953</v>
      </c>
      <c r="AJ115" s="37" t="n">
        <v>2.813246445712439</v>
      </c>
    </row>
    <row r="116">
      <c r="A116" s="37" t="n">
        <v>40008</v>
      </c>
      <c r="B116" s="16" t="inlineStr">
        <is>
          <t>杨明</t>
        </is>
      </c>
      <c r="C116" s="16" t="inlineStr">
        <is>
          <t>华安策略优选混合A</t>
        </is>
      </c>
      <c r="D116" s="16" t="inlineStr">
        <is>
          <t>反例：综合能力最低</t>
        </is>
      </c>
      <c r="E116" s="37" t="n">
        <v>40008</v>
      </c>
      <c r="F116" s="38" t="n">
        <v>45474</v>
      </c>
      <c r="G116" s="37" t="n">
        <v>2024</v>
      </c>
      <c r="H116" s="37" t="n">
        <v>2</v>
      </c>
      <c r="I116" s="19" t="n">
        <v>0.0212406666912823</v>
      </c>
      <c r="J116" s="19" t="n">
        <v>0.0187406666912823</v>
      </c>
      <c r="K116" s="19" t="n">
        <v>-0.0035578487745378</v>
      </c>
      <c r="L116" s="19" t="n">
        <v>0.0230398518872702</v>
      </c>
      <c r="M116" s="37" t="n">
        <v>670.46</v>
      </c>
      <c r="N116" s="37" t="n">
        <v>650.5</v>
      </c>
      <c r="O116" s="19" t="n">
        <v>0.4</v>
      </c>
      <c r="P116" s="19" t="n">
        <v>0.95</v>
      </c>
      <c r="Q116" s="37" t="n">
        <v>173.451615516725</v>
      </c>
      <c r="R116" s="37" t="n">
        <v>1</v>
      </c>
      <c r="S116" s="19" t="n">
        <v>0.07045700000000001</v>
      </c>
      <c r="T116" s="19" t="n">
        <v>0.040597</v>
      </c>
      <c r="U116" s="19" t="n">
        <v>0.0580782175654356</v>
      </c>
      <c r="V116" s="19" t="n">
        <v>0.7336528551923239</v>
      </c>
      <c r="W116" s="19" t="n">
        <v>-0.5499999999999999</v>
      </c>
      <c r="X116" s="37" t="n">
        <v>13.57208176330701</v>
      </c>
      <c r="Y116" s="19" t="n">
        <v>-0.042201095450199</v>
      </c>
      <c r="Z116" s="19" t="n">
        <v>0.8586954916427407</v>
      </c>
      <c r="AA116" s="19" t="n">
        <v>0.3091271019033598</v>
      </c>
      <c r="AB116" s="19" t="n">
        <v>-0.1697317723421804</v>
      </c>
      <c r="AC116" s="19" t="n">
        <v>-0.6298554511550432</v>
      </c>
      <c r="AD116" s="19" t="n">
        <v>-0.5180403311837052</v>
      </c>
      <c r="AE116" s="19" t="n">
        <v>0.0666232056394763</v>
      </c>
      <c r="AF116" s="19" t="n">
        <v>0.089370280544754</v>
      </c>
      <c r="AG116" s="37" t="n">
        <v>33.77</v>
      </c>
      <c r="AH116" s="37" t="n">
        <v>3.519572834397477</v>
      </c>
      <c r="AI116" s="37" t="n">
        <v>4044</v>
      </c>
      <c r="AJ116" s="37" t="n">
        <v>2.828085690697041</v>
      </c>
    </row>
    <row r="117">
      <c r="A117" s="37" t="n">
        <v>40008</v>
      </c>
      <c r="B117" s="16" t="inlineStr">
        <is>
          <t>杨明</t>
        </is>
      </c>
      <c r="C117" s="16" t="inlineStr">
        <is>
          <t>华安策略优选混合A</t>
        </is>
      </c>
      <c r="D117" s="16" t="inlineStr">
        <is>
          <t>反例：综合能力最低</t>
        </is>
      </c>
      <c r="E117" s="37" t="n">
        <v>40008</v>
      </c>
      <c r="F117" s="38" t="n">
        <v>45566</v>
      </c>
      <c r="G117" s="37" t="n">
        <v>2024</v>
      </c>
      <c r="H117" s="37" t="n">
        <v>3</v>
      </c>
      <c r="I117" s="19" t="n">
        <v>0.0738008631866704</v>
      </c>
      <c r="J117" s="19" t="n">
        <v>0.07130086318667039</v>
      </c>
      <c r="K117" s="19" t="n">
        <v>-0.0035578487745378</v>
      </c>
      <c r="L117" s="19" t="n">
        <v>0.0262230643891215</v>
      </c>
      <c r="M117" s="37" t="n"/>
      <c r="N117" s="37" t="n"/>
      <c r="O117" s="37" t="n"/>
      <c r="P117" s="37" t="n"/>
      <c r="Q117" s="37" t="n">
        <v>173.451615516725</v>
      </c>
      <c r="R117" s="37" t="n"/>
      <c r="S117" s="19" t="n">
        <v>0.122128</v>
      </c>
      <c r="T117" s="19" t="n">
        <v>0.104532</v>
      </c>
      <c r="U117" s="19" t="n">
        <v>0.4844791940357528</v>
      </c>
      <c r="V117" s="19" t="n">
        <v>0.7336528551923239</v>
      </c>
      <c r="W117" s="37" t="n"/>
      <c r="X117" s="37" t="n">
        <v>0</v>
      </c>
      <c r="Y117" s="19" t="n">
        <v>-0.0067937972342319</v>
      </c>
      <c r="Z117" s="19" t="n">
        <v>0.9445518738273504</v>
      </c>
      <c r="AA117" s="19" t="n">
        <v>0.3091271019033598</v>
      </c>
      <c r="AB117" s="19" t="n">
        <v>-0.1732274949846479</v>
      </c>
      <c r="AC117" s="19" t="n">
        <v>-0.6482172419001119</v>
      </c>
      <c r="AD117" s="19" t="n">
        <v>-0.5412669398504467</v>
      </c>
      <c r="AE117" s="19" t="n">
        <v>0.0542986810871447</v>
      </c>
      <c r="AF117" s="19" t="n">
        <v>0.0481790462836963</v>
      </c>
      <c r="AG117" s="37" t="n">
        <v>35.84</v>
      </c>
      <c r="AH117" s="37" t="n">
        <v>3.57906458810673</v>
      </c>
      <c r="AI117" s="37" t="n">
        <v>4136</v>
      </c>
      <c r="AJ117" s="37" t="n">
        <v>2.842867450845481</v>
      </c>
    </row>
    <row r="118">
      <c r="A118" s="37" t="n">
        <v>40008</v>
      </c>
      <c r="B118" s="16" t="inlineStr">
        <is>
          <t>杨明</t>
        </is>
      </c>
      <c r="C118" s="16" t="inlineStr">
        <is>
          <t>华安策略优选混合A</t>
        </is>
      </c>
      <c r="D118" s="16" t="inlineStr">
        <is>
          <t>反例：综合能力最低</t>
        </is>
      </c>
      <c r="E118" s="37" t="n">
        <v>40008</v>
      </c>
      <c r="F118" s="38" t="n">
        <v>45658</v>
      </c>
      <c r="G118" s="37" t="n">
        <v>2024</v>
      </c>
      <c r="H118" s="37" t="n">
        <v>4</v>
      </c>
      <c r="I118" s="19" t="n">
        <v>-0.0603588841176496</v>
      </c>
      <c r="J118" s="19" t="n">
        <v>-0.0628588841176496</v>
      </c>
      <c r="K118" s="19" t="n">
        <v>-0.0035578487745378</v>
      </c>
      <c r="L118" s="19" t="n">
        <v>0.046446168314106</v>
      </c>
      <c r="M118" s="37" t="n">
        <v>0</v>
      </c>
      <c r="N118" s="37" t="n">
        <v>670.46</v>
      </c>
      <c r="O118" s="19" t="n">
        <v>0.3888888888888889</v>
      </c>
      <c r="P118" s="19" t="n">
        <v>0.8571428571428571</v>
      </c>
      <c r="Q118" s="37" t="n">
        <v>255.017499705228</v>
      </c>
      <c r="R118" s="37" t="n">
        <v>1</v>
      </c>
      <c r="S118" s="19" t="n">
        <v>0.06948600000000001</v>
      </c>
      <c r="T118" s="19" t="n">
        <v>0.051315</v>
      </c>
      <c r="U118" s="19" t="n">
        <v>0.1574346547690688</v>
      </c>
      <c r="V118" s="19" t="n">
        <v>0.1104670927439961</v>
      </c>
      <c r="W118" s="19" t="n">
        <v>-0.4682539682539682</v>
      </c>
      <c r="X118" s="37" t="n">
        <v>81.56588418850299</v>
      </c>
      <c r="Y118" s="19" t="n">
        <v>-0.0031002228023794</v>
      </c>
      <c r="Z118" s="19" t="n">
        <v>0.9060133953142542</v>
      </c>
      <c r="AA118" s="19" t="n">
        <v>0.3091271019033598</v>
      </c>
      <c r="AB118" s="19" t="n">
        <v>-0.0445410531951695</v>
      </c>
      <c r="AC118" s="19" t="n">
        <v>-0.2257395265107911</v>
      </c>
      <c r="AD118" s="19" t="n">
        <v>-0.1320782730120329</v>
      </c>
      <c r="AE118" s="19" t="n">
        <v>0.0559598500003393</v>
      </c>
      <c r="AF118" s="19" t="n">
        <v>0.0194277443258529</v>
      </c>
      <c r="AG118" s="37" t="n">
        <v>32.14</v>
      </c>
      <c r="AH118" s="37" t="n">
        <v>3.470101360309366</v>
      </c>
      <c r="AI118" s="37" t="n">
        <v>4228</v>
      </c>
      <c r="AJ118" s="37" t="n">
        <v>2.857433889527604</v>
      </c>
    </row>
    <row r="119">
      <c r="A119" s="37" t="n">
        <v>40008</v>
      </c>
      <c r="B119" s="16" t="inlineStr">
        <is>
          <t>杨明</t>
        </is>
      </c>
      <c r="C119" s="16" t="inlineStr">
        <is>
          <t>华安策略优选混合A</t>
        </is>
      </c>
      <c r="D119" s="16" t="inlineStr">
        <is>
          <t>反例：综合能力最低</t>
        </is>
      </c>
      <c r="E119" s="37" t="n">
        <v>40008</v>
      </c>
      <c r="F119" s="38" t="n">
        <v>45748</v>
      </c>
      <c r="G119" s="37" t="n">
        <v>2025</v>
      </c>
      <c r="H119" s="37" t="n">
        <v>1</v>
      </c>
      <c r="I119" s="19" t="n">
        <v>-0.0269322246134379</v>
      </c>
      <c r="J119" s="19" t="n">
        <v>-0.0294322246134379</v>
      </c>
      <c r="K119" s="19" t="n">
        <v>-0.0035578487745378</v>
      </c>
      <c r="L119" s="19" t="n">
        <v>0.0488077530893971</v>
      </c>
      <c r="M119" s="37" t="n"/>
      <c r="N119" s="37" t="n"/>
      <c r="O119" s="37" t="n"/>
      <c r="P119" s="37" t="n"/>
      <c r="Q119" s="37" t="n">
        <v>255.017499705228</v>
      </c>
      <c r="R119" s="37" t="n"/>
      <c r="S119" s="19" t="n">
        <v>0.154132</v>
      </c>
      <c r="T119" s="19" t="n">
        <v>0.102019</v>
      </c>
      <c r="U119" s="19" t="n">
        <v>0.36545035183976</v>
      </c>
      <c r="V119" s="19" t="n">
        <v>0.1431383316561882</v>
      </c>
      <c r="W119" s="37" t="n"/>
      <c r="X119" s="37" t="n">
        <v>0</v>
      </c>
      <c r="Y119" s="19" t="n">
        <v>-0.0006132703243043</v>
      </c>
      <c r="Z119" s="19" t="n">
        <v>0.9456154333244152</v>
      </c>
      <c r="AA119" s="19" t="n">
        <v>0.3091271019033598</v>
      </c>
      <c r="AB119" s="19" t="n">
        <v>-0.0886916280898398</v>
      </c>
      <c r="AC119" s="19" t="n">
        <v>-0.6406489996007841</v>
      </c>
      <c r="AD119" s="19" t="n">
        <v>-0.3201950642699446</v>
      </c>
      <c r="AE119" s="19" t="n">
        <v>0.0561022330768803</v>
      </c>
      <c r="AF119" s="19" t="n">
        <v>0.0088402670547469</v>
      </c>
      <c r="AG119" s="37" t="n">
        <v>30.2</v>
      </c>
      <c r="AH119" s="37" t="n">
        <v>3.407841924380824</v>
      </c>
      <c r="AI119" s="37" t="n">
        <v>4318</v>
      </c>
      <c r="AJ119" s="37" t="n">
        <v>2.871481256463614</v>
      </c>
    </row>
    <row r="120">
      <c r="A120" s="37" t="n">
        <v>40008</v>
      </c>
      <c r="B120" s="16" t="inlineStr">
        <is>
          <t>杨明</t>
        </is>
      </c>
      <c r="C120" s="16" t="inlineStr">
        <is>
          <t>华安策略优选混合A</t>
        </is>
      </c>
      <c r="D120" s="16" t="inlineStr">
        <is>
          <t>反例：综合能力最低</t>
        </is>
      </c>
      <c r="E120" s="37" t="n">
        <v>40008</v>
      </c>
      <c r="F120" s="38" t="n">
        <v>45839</v>
      </c>
      <c r="G120" s="37" t="n">
        <v>2025</v>
      </c>
      <c r="H120" s="37" t="n">
        <v>2</v>
      </c>
      <c r="I120" s="19" t="n">
        <v>-0.058698597161885</v>
      </c>
      <c r="J120" s="19" t="n">
        <v>-0.061198597161885</v>
      </c>
      <c r="K120" s="19" t="n">
        <v>-0.0035578487745378</v>
      </c>
      <c r="L120" s="19" t="n">
        <v>0.0648052885732345</v>
      </c>
      <c r="M120" s="37" t="n"/>
      <c r="N120" s="37" t="n"/>
      <c r="O120" s="19" t="n">
        <v>0.125</v>
      </c>
      <c r="P120" s="19" t="n">
        <v>0.4736842105263157</v>
      </c>
      <c r="Q120" s="37" t="n">
        <v>343.941104320254</v>
      </c>
      <c r="R120" s="37" t="n"/>
      <c r="S120" s="19" t="n">
        <v>0.060572</v>
      </c>
      <c r="T120" s="19" t="n">
        <v>0.041022</v>
      </c>
      <c r="U120" s="19" t="n">
        <v>0.4227851056379129</v>
      </c>
      <c r="V120" s="19" t="n">
        <v>0.0389802143974702</v>
      </c>
      <c r="W120" s="19" t="n">
        <v>-0.3486842105263157</v>
      </c>
      <c r="X120" s="37" t="n">
        <v>0</v>
      </c>
      <c r="Y120" s="19" t="n">
        <v>0.009235635616189701</v>
      </c>
      <c r="Z120" s="19" t="n">
        <v>0.8959969977737771</v>
      </c>
      <c r="AA120" s="19" t="n">
        <v>0.3091271019033598</v>
      </c>
      <c r="AB120" s="19" t="n">
        <v>-0.0937395508039069</v>
      </c>
      <c r="AC120" s="19" t="n">
        <v>-0.7614817991898233</v>
      </c>
      <c r="AD120" s="19" t="n">
        <v>-0.3412730498230969</v>
      </c>
      <c r="AE120" s="19" t="n">
        <v>0.0505830250752673</v>
      </c>
      <c r="AF120" s="19" t="n">
        <v>0.0356640065195586</v>
      </c>
      <c r="AG120" s="37" t="n">
        <v>27.72</v>
      </c>
      <c r="AH120" s="37" t="n">
        <v>3.322154174321702</v>
      </c>
      <c r="AI120" s="37" t="n">
        <v>4409</v>
      </c>
      <c r="AJ120" s="37" t="n">
        <v>2.885486872088253</v>
      </c>
    </row>
    <row r="121">
      <c r="A121" s="37" t="n">
        <v>40008</v>
      </c>
      <c r="B121" s="16" t="inlineStr">
        <is>
          <t>杨明</t>
        </is>
      </c>
      <c r="C121" s="16" t="inlineStr">
        <is>
          <t>华安策略优选混合A</t>
        </is>
      </c>
      <c r="D121" s="16" t="inlineStr">
        <is>
          <t>反例：综合能力最低</t>
        </is>
      </c>
      <c r="E121" s="37" t="n">
        <v>40008</v>
      </c>
      <c r="F121" s="38" t="n">
        <v>45931</v>
      </c>
      <c r="G121" s="37" t="n">
        <v>2025</v>
      </c>
      <c r="H121" s="37" t="n">
        <v>3</v>
      </c>
      <c r="I121" s="19" t="n">
        <v>0.2785898922211571</v>
      </c>
      <c r="J121" s="19" t="n">
        <v>0.2760898922211571</v>
      </c>
      <c r="K121" s="19" t="n">
        <v>-0.0035578487745378</v>
      </c>
      <c r="L121" s="19" t="n">
        <v>0.1249396224951612</v>
      </c>
      <c r="M121" s="37" t="n"/>
      <c r="N121" s="37" t="n"/>
      <c r="O121" s="37" t="n"/>
      <c r="P121" s="37" t="n"/>
      <c r="Q121" s="37" t="n">
        <v>343.941104320254</v>
      </c>
      <c r="R121" s="37" t="n"/>
      <c r="S121" s="19" t="n">
        <v>0.137358</v>
      </c>
      <c r="T121" s="19" t="n">
        <v>0.09249300000000001</v>
      </c>
      <c r="U121" s="19" t="n">
        <v>0.7914861683975727</v>
      </c>
      <c r="V121" s="19" t="n">
        <v>0.0752740598787929</v>
      </c>
      <c r="W121" s="37" t="n"/>
      <c r="X121" s="37" t="n">
        <v>0</v>
      </c>
      <c r="Y121" s="19" t="n">
        <v>0.0895786565494936</v>
      </c>
      <c r="Z121" s="19" t="n">
        <v>0.9768323051475984</v>
      </c>
      <c r="AA121" s="19" t="n">
        <v>0.3091271019033598</v>
      </c>
      <c r="AB121" s="19" t="n">
        <v>-0.0730245850290266</v>
      </c>
      <c r="AC121" s="37" t="n">
        <v>-1.06476114831575</v>
      </c>
      <c r="AD121" s="19" t="n">
        <v>-0.2948911728515998</v>
      </c>
      <c r="AE121" s="19" t="n">
        <v>0.1129843312539089</v>
      </c>
      <c r="AF121" s="19" t="n">
        <v>0.0427543595837349</v>
      </c>
      <c r="AG121" s="37" t="n">
        <v>33.15</v>
      </c>
      <c r="AH121" s="37" t="n">
        <v>3.501042716631872</v>
      </c>
      <c r="AI121" s="37" t="n">
        <v>4501</v>
      </c>
      <c r="AJ121" s="37" t="n">
        <v>2.899449763984822</v>
      </c>
    </row>
    <row r="122">
      <c r="A122" s="37" t="n">
        <v>40008</v>
      </c>
      <c r="B122" s="16" t="inlineStr">
        <is>
          <t>杨明</t>
        </is>
      </c>
      <c r="C122" s="16" t="inlineStr">
        <is>
          <t>华安策略优选混合A</t>
        </is>
      </c>
      <c r="D122" s="16" t="inlineStr">
        <is>
          <t>反例：综合能力最低</t>
        </is>
      </c>
      <c r="E122" s="37" t="n">
        <v>40008</v>
      </c>
      <c r="F122" s="38" t="n">
        <v>46023</v>
      </c>
      <c r="G122" s="37" t="n">
        <v>2025</v>
      </c>
      <c r="H122" s="37" t="n">
        <v>4</v>
      </c>
      <c r="I122" s="19" t="n">
        <v>0.0295909564912271</v>
      </c>
      <c r="J122" s="19" t="n">
        <v>0.0270909564912271</v>
      </c>
      <c r="K122" s="19" t="n">
        <v>-0.0035578487745378</v>
      </c>
      <c r="L122" s="19" t="n">
        <v>0.0516139293401368</v>
      </c>
      <c r="M122" s="37" t="n"/>
      <c r="N122" s="37" t="n"/>
      <c r="O122" s="19" t="n">
        <v>0.4444444444444444</v>
      </c>
      <c r="P122" s="19" t="n">
        <v>0.875</v>
      </c>
      <c r="Q122" s="37" t="n"/>
      <c r="R122" s="37" t="n"/>
      <c r="S122" s="19" t="n">
        <v>0.070618</v>
      </c>
      <c r="T122" s="19" t="n">
        <v>0.029845</v>
      </c>
      <c r="U122" s="19" t="n">
        <v>0.7353436107832458</v>
      </c>
      <c r="V122" s="37" t="n">
        <v>0</v>
      </c>
      <c r="W122" s="19" t="n">
        <v>-0.4305555555555556</v>
      </c>
      <c r="X122" s="37" t="n"/>
      <c r="Y122" s="19" t="n">
        <v>0.0811903321174625</v>
      </c>
      <c r="Z122" s="19" t="n">
        <v>0.9480828165065898</v>
      </c>
      <c r="AA122" s="19" t="n">
        <v>0.3091271019033598</v>
      </c>
      <c r="AB122" s="19" t="n">
        <v>0.044514552313594</v>
      </c>
      <c r="AC122" s="37" t="n">
        <v>1.613480654509318</v>
      </c>
      <c r="AD122" s="19" t="n">
        <v>0.219937782000143</v>
      </c>
      <c r="AE122" s="19" t="n">
        <v>0.1088423812716399</v>
      </c>
      <c r="AF122" s="19" t="n">
        <v>0.08243083153250751</v>
      </c>
      <c r="AG122" s="37" t="n">
        <v>32.49</v>
      </c>
      <c r="AH122" s="37" t="n">
        <v>3.480932349681009</v>
      </c>
      <c r="AI122" s="37" t="n">
        <v>4593</v>
      </c>
      <c r="AJ122" s="37" t="n">
        <v>2.91322037524412</v>
      </c>
    </row>
    <row r="123">
      <c r="A123" s="37" t="n">
        <v>40008</v>
      </c>
      <c r="B123" s="16" t="inlineStr">
        <is>
          <t>杨明</t>
        </is>
      </c>
      <c r="C123" s="16" t="inlineStr">
        <is>
          <t>华安策略优选混合A</t>
        </is>
      </c>
      <c r="D123" s="16" t="inlineStr">
        <is>
          <t>反例：综合能力最低</t>
        </is>
      </c>
      <c r="E123" s="37" t="n">
        <v>40008</v>
      </c>
      <c r="F123" s="38" t="n">
        <v>46113</v>
      </c>
      <c r="G123" s="37" t="n">
        <v>2026</v>
      </c>
      <c r="H123" s="37" t="n">
        <v>1</v>
      </c>
      <c r="I123" s="19" t="n">
        <v>-0.0034568764525203</v>
      </c>
      <c r="J123" s="19" t="n">
        <v>-0.0059568764525203</v>
      </c>
      <c r="K123" s="19" t="n">
        <v>-0.0035578487745378</v>
      </c>
      <c r="L123" s="19" t="n">
        <v>0.0166889203542875</v>
      </c>
      <c r="M123" s="37" t="n"/>
      <c r="N123" s="37" t="n"/>
      <c r="O123" s="37" t="n"/>
      <c r="P123" s="37" t="n"/>
      <c r="Q123" s="37" t="n"/>
      <c r="R123" s="37" t="n"/>
      <c r="S123" s="19" t="n">
        <v>0.07617400000000001</v>
      </c>
      <c r="T123" s="19" t="n">
        <v>0.108432</v>
      </c>
      <c r="U123" s="19" t="n">
        <v>0.5830644596018195</v>
      </c>
      <c r="V123" s="19" t="n">
        <v>0.937299194520679</v>
      </c>
      <c r="W123" s="37" t="n"/>
      <c r="X123" s="37" t="n"/>
      <c r="Y123" s="19" t="n">
        <v>0.08084488712984</v>
      </c>
      <c r="Z123" s="19" t="n">
        <v>0.9187233684697698</v>
      </c>
      <c r="AA123" s="19" t="n">
        <v>0.3091271019033598</v>
      </c>
      <c r="AB123" s="19" t="n">
        <v>0.086046008737098</v>
      </c>
      <c r="AC123" s="37" t="n">
        <v>1.832457137606592</v>
      </c>
      <c r="AD123" s="19" t="n">
        <v>0.3174886938031191</v>
      </c>
      <c r="AE123" s="19" t="n">
        <v>0.109767502239008</v>
      </c>
      <c r="AF123" s="19" t="n">
        <v>0.044391278136134</v>
      </c>
      <c r="AG123" s="37" t="n">
        <v>30.43</v>
      </c>
      <c r="AH123" s="37" t="n">
        <v>3.41542896390888</v>
      </c>
      <c r="AI123" s="37" t="n">
        <v>4683</v>
      </c>
      <c r="AJ123" s="37" t="n">
        <v>2.9265105885813</v>
      </c>
    </row>
    <row r="124">
      <c r="A124" s="37" t="n">
        <v>40008</v>
      </c>
      <c r="B124" s="16" t="inlineStr">
        <is>
          <t>杨明</t>
        </is>
      </c>
      <c r="C124" s="16" t="inlineStr">
        <is>
          <t>华安策略优选混合A</t>
        </is>
      </c>
      <c r="D124" s="16" t="inlineStr">
        <is>
          <t>反例：综合能力最低</t>
        </is>
      </c>
      <c r="E124" s="37" t="n">
        <v>40008</v>
      </c>
      <c r="F124" s="38" t="n">
        <v>46204</v>
      </c>
      <c r="G124" s="37" t="n">
        <v>2026</v>
      </c>
      <c r="H124" s="37" t="n">
        <v>2</v>
      </c>
      <c r="I124" s="19" t="n">
        <v>0.1708602723232075</v>
      </c>
      <c r="J124" s="37" t="n"/>
      <c r="K124" s="19" t="n">
        <v>-0.0035578487745378</v>
      </c>
      <c r="L124" s="19" t="n">
        <v>0.293071494012168</v>
      </c>
      <c r="M124" s="37" t="n"/>
      <c r="N124" s="37" t="n"/>
      <c r="O124" s="19" t="n">
        <v>0.6428571428571429</v>
      </c>
      <c r="P124" s="37" t="n">
        <v>1</v>
      </c>
      <c r="Q124" s="37" t="n"/>
      <c r="R124" s="37" t="n"/>
      <c r="S124" s="19" t="n">
        <v>0.110588</v>
      </c>
      <c r="T124" s="19" t="n">
        <v>0.101674</v>
      </c>
      <c r="U124" s="19" t="n">
        <v>0.535168506250167</v>
      </c>
      <c r="V124" s="19" t="n">
        <v>0.4564322251527265</v>
      </c>
      <c r="W124" s="19" t="n">
        <v>-0.3571428571428571</v>
      </c>
      <c r="X124" s="37" t="n"/>
      <c r="Y124" s="19" t="n">
        <v>0.0720275996169395</v>
      </c>
      <c r="Z124" s="19" t="n">
        <v>0.9802467876377809</v>
      </c>
      <c r="AA124" s="19" t="n">
        <v>0.3091271019033598</v>
      </c>
      <c r="AB124" s="19" t="n">
        <v>0.0650473530174035</v>
      </c>
      <c r="AC124" s="37" t="n">
        <v>1.068831677640369</v>
      </c>
      <c r="AD124" s="19" t="n">
        <v>0.2665029499310805</v>
      </c>
      <c r="AE124" s="19" t="n">
        <v>0.1199439208322692</v>
      </c>
      <c r="AF124" s="19" t="n">
        <v>0.1401182284889219</v>
      </c>
      <c r="AG124" s="37" t="n">
        <v>31.96</v>
      </c>
      <c r="AH124" s="37" t="n">
        <v>3.464485120898074</v>
      </c>
      <c r="AI124" s="37" t="n">
        <v>4774</v>
      </c>
      <c r="AJ124" s="37" t="n">
        <v>2.939771256485084</v>
      </c>
    </row>
    <row r="125">
      <c r="A125" s="37" t="n">
        <v>320007</v>
      </c>
      <c r="B125" s="16" t="inlineStr">
        <is>
          <t>蔡嵩松</t>
        </is>
      </c>
      <c r="C125" s="16" t="inlineStr">
        <is>
          <t>诺安成长混合</t>
        </is>
      </c>
      <c r="D125" s="16" t="inlineStr">
        <is>
          <t>极致集中·科技成长轮动型</t>
        </is>
      </c>
      <c r="E125" s="37" t="n">
        <v>320007</v>
      </c>
      <c r="F125" s="38" t="n">
        <v>43922</v>
      </c>
      <c r="G125" s="37" t="n">
        <v>2020</v>
      </c>
      <c r="H125" s="37" t="n">
        <v>1</v>
      </c>
      <c r="I125" s="19" t="n">
        <v>0.0112655610168383</v>
      </c>
      <c r="J125" s="19" t="n">
        <v>0.0087655610168383</v>
      </c>
      <c r="K125" s="19" t="n">
        <v>0.020947304307366</v>
      </c>
      <c r="L125" s="19" t="n">
        <v>0.0490486473304978</v>
      </c>
      <c r="M125" s="37" t="n"/>
      <c r="N125" s="37" t="n"/>
      <c r="O125" s="37" t="n"/>
      <c r="P125" s="37" t="n"/>
      <c r="Q125" s="37" t="n">
        <v>131.682388625248</v>
      </c>
      <c r="R125" s="37" t="n"/>
      <c r="S125" s="19" t="n">
        <v>0.804505</v>
      </c>
      <c r="T125" s="19" t="n">
        <v>0.079552</v>
      </c>
      <c r="U125" s="19" t="n">
        <v>0.0703326240340463</v>
      </c>
      <c r="V125" s="37" t="n"/>
      <c r="W125" s="37" t="n"/>
      <c r="X125" s="37" t="n"/>
      <c r="Y125" s="37" t="n"/>
      <c r="Z125" s="19" t="n">
        <v>0.7804853453705674</v>
      </c>
      <c r="AA125" s="19" t="n">
        <v>0.6561955731785254</v>
      </c>
      <c r="AB125" s="37" t="n"/>
      <c r="AC125" s="37" t="n"/>
      <c r="AD125" s="37" t="n"/>
      <c r="AE125" s="37" t="n"/>
      <c r="AF125" s="19" t="n">
        <v>0.1204299367915349</v>
      </c>
      <c r="AG125" s="37" t="n">
        <v>108.48</v>
      </c>
      <c r="AH125" s="37" t="n">
        <v>4.686565824192085</v>
      </c>
      <c r="AI125" s="37" t="n">
        <v>406</v>
      </c>
      <c r="AJ125" s="37" t="n">
        <v>2.40333578817371</v>
      </c>
    </row>
    <row r="126">
      <c r="A126" s="37" t="n">
        <v>320007</v>
      </c>
      <c r="B126" s="16" t="inlineStr">
        <is>
          <t>蔡嵩松</t>
        </is>
      </c>
      <c r="C126" s="16" t="inlineStr">
        <is>
          <t>诺安成长混合</t>
        </is>
      </c>
      <c r="D126" s="16" t="inlineStr">
        <is>
          <t>极致集中·科技成长轮动型</t>
        </is>
      </c>
      <c r="E126" s="37" t="n">
        <v>320007</v>
      </c>
      <c r="F126" s="38" t="n">
        <v>44013</v>
      </c>
      <c r="G126" s="37" t="n">
        <v>2020</v>
      </c>
      <c r="H126" s="37" t="n">
        <v>2</v>
      </c>
      <c r="I126" s="19" t="n">
        <v>0.3762905494306361</v>
      </c>
      <c r="J126" s="19" t="n">
        <v>0.3737905494306361</v>
      </c>
      <c r="K126" s="19" t="n">
        <v>0.020947304307366</v>
      </c>
      <c r="L126" s="19" t="n">
        <v>0.0799771381586325</v>
      </c>
      <c r="M126" s="37" t="n"/>
      <c r="N126" s="37" t="n"/>
      <c r="O126" s="19" t="n">
        <v>0.6666666666666666</v>
      </c>
      <c r="P126" s="19" t="n">
        <v>0.8</v>
      </c>
      <c r="Q126" s="37" t="n">
        <v>88.0494284027145</v>
      </c>
      <c r="R126" s="37" t="n"/>
      <c r="S126" s="19" t="n">
        <v>0.8875420000000001</v>
      </c>
      <c r="T126" s="19" t="n">
        <v>0.083953</v>
      </c>
      <c r="U126" s="19" t="n">
        <v>0.0056956017297753</v>
      </c>
      <c r="V126" s="37" t="n"/>
      <c r="W126" s="19" t="n">
        <v>-0.1333333333333334</v>
      </c>
      <c r="X126" s="37" t="n">
        <v>-43.6329602225335</v>
      </c>
      <c r="Y126" s="37" t="n"/>
      <c r="Z126" s="19" t="n">
        <v>0.977669716278724</v>
      </c>
      <c r="AA126" s="19" t="n">
        <v>0.6561955731785254</v>
      </c>
      <c r="AB126" s="37" t="n"/>
      <c r="AC126" s="37" t="n"/>
      <c r="AD126" s="37" t="n"/>
      <c r="AE126" s="37" t="n"/>
      <c r="AF126" s="19" t="n">
        <v>0.069102273685135</v>
      </c>
      <c r="AG126" s="37" t="n">
        <v>161.19</v>
      </c>
      <c r="AH126" s="37" t="n">
        <v>5.08258379340884</v>
      </c>
      <c r="AI126" s="37" t="n">
        <v>497</v>
      </c>
      <c r="AJ126" s="37" t="n">
        <v>2.425610604615279</v>
      </c>
    </row>
    <row r="127">
      <c r="A127" s="37" t="n">
        <v>320007</v>
      </c>
      <c r="B127" s="16" t="inlineStr">
        <is>
          <t>蔡嵩松</t>
        </is>
      </c>
      <c r="C127" s="16" t="inlineStr">
        <is>
          <t>诺安成长混合</t>
        </is>
      </c>
      <c r="D127" s="16" t="inlineStr">
        <is>
          <t>极致集中·科技成长轮动型</t>
        </is>
      </c>
      <c r="E127" s="37" t="n">
        <v>320007</v>
      </c>
      <c r="F127" s="38" t="n">
        <v>44105</v>
      </c>
      <c r="G127" s="37" t="n">
        <v>2020</v>
      </c>
      <c r="H127" s="37" t="n">
        <v>3</v>
      </c>
      <c r="I127" s="19" t="n">
        <v>-0.0873888888227346</v>
      </c>
      <c r="J127" s="19" t="n">
        <v>-0.0898888888227346</v>
      </c>
      <c r="K127" s="19" t="n">
        <v>0.020947304307366</v>
      </c>
      <c r="L127" s="19" t="n">
        <v>0.0239606006865528</v>
      </c>
      <c r="M127" s="37" t="n"/>
      <c r="N127" s="37" t="n"/>
      <c r="O127" s="37" t="n"/>
      <c r="P127" s="37" t="n"/>
      <c r="Q127" s="37" t="n">
        <v>88.0494284027145</v>
      </c>
      <c r="R127" s="37" t="n"/>
      <c r="S127" s="19" t="n">
        <v>0.953224</v>
      </c>
      <c r="T127" s="19" t="n">
        <v>0.08494400000000001</v>
      </c>
      <c r="U127" s="19" t="n">
        <v>0.0146252285191955</v>
      </c>
      <c r="V127" s="37" t="n"/>
      <c r="W127" s="37" t="n"/>
      <c r="X127" s="37" t="n">
        <v>0</v>
      </c>
      <c r="Y127" s="37" t="n"/>
      <c r="Z127" s="19" t="n">
        <v>0.8081612565320357</v>
      </c>
      <c r="AA127" s="19" t="n">
        <v>0.6561955731785254</v>
      </c>
      <c r="AB127" s="37" t="n"/>
      <c r="AC127" s="37" t="n"/>
      <c r="AD127" s="37" t="n"/>
      <c r="AE127" s="19" t="n">
        <v>0.2492241947201944</v>
      </c>
      <c r="AF127" s="19" t="n">
        <v>0.129710243473009</v>
      </c>
      <c r="AG127" s="37" t="n">
        <v>277.31</v>
      </c>
      <c r="AH127" s="37" t="n">
        <v>5.625136013998199</v>
      </c>
      <c r="AI127" s="37" t="n">
        <v>589</v>
      </c>
      <c r="AJ127" s="37" t="n">
        <v>2.447636872152458</v>
      </c>
    </row>
    <row r="128">
      <c r="A128" s="37" t="n">
        <v>320007</v>
      </c>
      <c r="B128" s="16" t="inlineStr">
        <is>
          <t>蔡嵩松</t>
        </is>
      </c>
      <c r="C128" s="16" t="inlineStr">
        <is>
          <t>诺安成长混合</t>
        </is>
      </c>
      <c r="D128" s="16" t="inlineStr">
        <is>
          <t>极致集中·科技成长轮动型</t>
        </is>
      </c>
      <c r="E128" s="37" t="n">
        <v>320007</v>
      </c>
      <c r="F128" s="38" t="n">
        <v>44197</v>
      </c>
      <c r="G128" s="37" t="n">
        <v>2020</v>
      </c>
      <c r="H128" s="37" t="n">
        <v>4</v>
      </c>
      <c r="I128" s="19" t="n">
        <v>0.0949713596684072</v>
      </c>
      <c r="J128" s="19" t="n">
        <v>0.09247135966840719</v>
      </c>
      <c r="K128" s="19" t="n">
        <v>0.020947304307366</v>
      </c>
      <c r="L128" s="19" t="n">
        <v>0.0271829825049253</v>
      </c>
      <c r="M128" s="37" t="n">
        <v>2026.78</v>
      </c>
      <c r="N128" s="37" t="n">
        <v>380.98</v>
      </c>
      <c r="O128" s="19" t="n">
        <v>0.4615384615384615</v>
      </c>
      <c r="P128" s="19" t="n">
        <v>0.7037037037037037</v>
      </c>
      <c r="Q128" s="37" t="n">
        <v>73.8720291044711</v>
      </c>
      <c r="R128" s="19" t="n">
        <v>0.8705536955216975</v>
      </c>
      <c r="S128" s="19" t="n">
        <v>0.955708</v>
      </c>
      <c r="T128" s="19" t="n">
        <v>0.08881</v>
      </c>
      <c r="U128" s="19" t="n">
        <v>0.0146252285191955</v>
      </c>
      <c r="V128" s="37" t="n"/>
      <c r="W128" s="19" t="n">
        <v>-0.2421652421652421</v>
      </c>
      <c r="X128" s="37" t="n">
        <v>0</v>
      </c>
      <c r="Y128" s="19" t="n">
        <v>0.1040651685833431</v>
      </c>
      <c r="Z128" s="19" t="n">
        <v>0.8737295732048781</v>
      </c>
      <c r="AA128" s="19" t="n">
        <v>0.6561955731785254</v>
      </c>
      <c r="AB128" s="37" t="n"/>
      <c r="AC128" s="37" t="n"/>
      <c r="AD128" s="37" t="n"/>
      <c r="AE128" s="19" t="n">
        <v>0.2034976633647955</v>
      </c>
      <c r="AF128" s="19" t="n">
        <v>0.0593261965351563</v>
      </c>
      <c r="AG128" s="37" t="n">
        <v>327.76</v>
      </c>
      <c r="AH128" s="37" t="n">
        <v>5.792281633238615</v>
      </c>
      <c r="AI128" s="37" t="n">
        <v>681</v>
      </c>
      <c r="AJ128" s="37" t="n">
        <v>2.469188420736043</v>
      </c>
    </row>
    <row r="129">
      <c r="A129" s="37" t="n">
        <v>320007</v>
      </c>
      <c r="B129" s="16" t="inlineStr">
        <is>
          <t>蔡嵩松</t>
        </is>
      </c>
      <c r="C129" s="16" t="inlineStr">
        <is>
          <t>诺安成长混合</t>
        </is>
      </c>
      <c r="D129" s="16" t="inlineStr">
        <is>
          <t>极致集中·科技成长轮动型</t>
        </is>
      </c>
      <c r="E129" s="37" t="n">
        <v>320007</v>
      </c>
      <c r="F129" s="38" t="n">
        <v>44287</v>
      </c>
      <c r="G129" s="37" t="n">
        <v>2021</v>
      </c>
      <c r="H129" s="37" t="n">
        <v>1</v>
      </c>
      <c r="I129" s="19" t="n">
        <v>-0.1141304487827934</v>
      </c>
      <c r="J129" s="19" t="n">
        <v>-0.1166304487827934</v>
      </c>
      <c r="K129" s="19" t="n">
        <v>0.020947304307366</v>
      </c>
      <c r="L129" s="19" t="n">
        <v>0.0126054530385345</v>
      </c>
      <c r="M129" s="37" t="n"/>
      <c r="N129" s="37" t="n"/>
      <c r="O129" s="37" t="n"/>
      <c r="P129" s="37" t="n"/>
      <c r="Q129" s="37" t="n">
        <v>73.8720291044711</v>
      </c>
      <c r="R129" s="37" t="n"/>
      <c r="S129" s="19" t="n">
        <v>0.927779</v>
      </c>
      <c r="T129" s="19" t="n">
        <v>0.095178</v>
      </c>
      <c r="U129" s="19" t="n">
        <v>0.0002161694768698</v>
      </c>
      <c r="V129" s="37" t="n"/>
      <c r="W129" s="37" t="n"/>
      <c r="X129" s="37" t="n">
        <v>0</v>
      </c>
      <c r="Y129" s="19" t="n">
        <v>0.0984474395028998</v>
      </c>
      <c r="Z129" s="19" t="n">
        <v>0.7414452531376839</v>
      </c>
      <c r="AA129" s="19" t="n">
        <v>0.6561955731785254</v>
      </c>
      <c r="AB129" s="19" t="n">
        <v>0.2340561969594858</v>
      </c>
      <c r="AC129" s="37" t="n"/>
      <c r="AD129" s="19" t="n">
        <v>0.4827440453600603</v>
      </c>
      <c r="AE129" s="19" t="n">
        <v>0.1989461327279179</v>
      </c>
      <c r="AF129" s="19" t="n">
        <v>0.1265839341544989</v>
      </c>
      <c r="AG129" s="37" t="n">
        <v>271.1</v>
      </c>
      <c r="AH129" s="37" t="n">
        <v>5.60248775650462</v>
      </c>
      <c r="AI129" s="37" t="n">
        <v>771</v>
      </c>
      <c r="AJ129" s="37" t="n">
        <v>2.489831355588795</v>
      </c>
    </row>
    <row r="130">
      <c r="A130" s="37" t="n">
        <v>320007</v>
      </c>
      <c r="B130" s="16" t="inlineStr">
        <is>
          <t>蔡嵩松</t>
        </is>
      </c>
      <c r="C130" s="16" t="inlineStr">
        <is>
          <t>诺安成长混合</t>
        </is>
      </c>
      <c r="D130" s="16" t="inlineStr">
        <is>
          <t>极致集中·科技成长轮动型</t>
        </is>
      </c>
      <c r="E130" s="37" t="n">
        <v>320007</v>
      </c>
      <c r="F130" s="38" t="n">
        <v>44378</v>
      </c>
      <c r="G130" s="37" t="n">
        <v>2021</v>
      </c>
      <c r="H130" s="37" t="n">
        <v>2</v>
      </c>
      <c r="I130" s="19" t="n">
        <v>0.3939754082073186</v>
      </c>
      <c r="J130" s="19" t="n">
        <v>0.3914754082073186</v>
      </c>
      <c r="K130" s="19" t="n">
        <v>0.020947304307366</v>
      </c>
      <c r="L130" s="19" t="n">
        <v>0.0352295710850416</v>
      </c>
      <c r="M130" s="37" t="n">
        <v>3381.47</v>
      </c>
      <c r="N130" s="37" t="n">
        <v>974.54</v>
      </c>
      <c r="O130" s="19" t="n">
        <v>0.0923076923076923</v>
      </c>
      <c r="P130" s="19" t="n">
        <v>0.056338028169014</v>
      </c>
      <c r="Q130" s="37" t="n">
        <v>43.34059494377</v>
      </c>
      <c r="R130" s="19" t="n">
        <v>0.6388507166521719</v>
      </c>
      <c r="S130" s="19" t="n">
        <v>0.927652</v>
      </c>
      <c r="T130" s="19" t="n">
        <v>0.091928</v>
      </c>
      <c r="U130" s="19" t="n">
        <v>0.0096556163501769</v>
      </c>
      <c r="V130" s="37" t="n"/>
      <c r="W130" s="19" t="n">
        <v>0.0359696641386782</v>
      </c>
      <c r="X130" s="37" t="n">
        <v>0</v>
      </c>
      <c r="Y130" s="19" t="n">
        <v>0.0950020942121996</v>
      </c>
      <c r="Z130" s="19" t="n">
        <v>0.9274844146841552</v>
      </c>
      <c r="AA130" s="19" t="n">
        <v>0.6561955731785254</v>
      </c>
      <c r="AB130" s="19" t="n">
        <v>0.0655062988281223</v>
      </c>
      <c r="AC130" s="37" t="n"/>
      <c r="AD130" s="19" t="n">
        <v>0.2722688572218909</v>
      </c>
      <c r="AE130" s="19" t="n">
        <v>0.226614353275482</v>
      </c>
      <c r="AF130" s="19" t="n">
        <v>0.1065354346385591</v>
      </c>
      <c r="AG130" s="37" t="n">
        <v>281.77</v>
      </c>
      <c r="AH130" s="37" t="n">
        <v>5.641091135316281</v>
      </c>
      <c r="AI130" s="37" t="n">
        <v>862</v>
      </c>
      <c r="AJ130" s="37" t="n">
        <v>2.510279208792042</v>
      </c>
    </row>
    <row r="131">
      <c r="A131" s="37" t="n">
        <v>320007</v>
      </c>
      <c r="B131" s="16" t="inlineStr">
        <is>
          <t>蔡嵩松</t>
        </is>
      </c>
      <c r="C131" s="16" t="inlineStr">
        <is>
          <t>诺安成长混合</t>
        </is>
      </c>
      <c r="D131" s="16" t="inlineStr">
        <is>
          <t>极致集中·科技成长轮动型</t>
        </is>
      </c>
      <c r="E131" s="37" t="n">
        <v>320007</v>
      </c>
      <c r="F131" s="38" t="n">
        <v>44470</v>
      </c>
      <c r="G131" s="37" t="n">
        <v>2021</v>
      </c>
      <c r="H131" s="37" t="n">
        <v>3</v>
      </c>
      <c r="I131" s="19" t="n">
        <v>-0.0359943231396815</v>
      </c>
      <c r="J131" s="19" t="n">
        <v>-0.0384943231396815</v>
      </c>
      <c r="K131" s="19" t="n">
        <v>0.020947304307366</v>
      </c>
      <c r="L131" s="19" t="n">
        <v>0.0096006657168693</v>
      </c>
      <c r="M131" s="37" t="n"/>
      <c r="N131" s="37" t="n"/>
      <c r="O131" s="37" t="n"/>
      <c r="P131" s="37" t="n"/>
      <c r="Q131" s="37" t="n">
        <v>43.34059494377</v>
      </c>
      <c r="R131" s="37" t="n"/>
      <c r="S131" s="19" t="n">
        <v>0.9210159999999999</v>
      </c>
      <c r="T131" s="19" t="n">
        <v>0.09173000000000001</v>
      </c>
      <c r="U131" s="19" t="n">
        <v>0.0004291385044522</v>
      </c>
      <c r="V131" s="37" t="n"/>
      <c r="W131" s="37" t="n"/>
      <c r="X131" s="37" t="n">
        <v>0</v>
      </c>
      <c r="Y131" s="19" t="n">
        <v>0.0975129017350774</v>
      </c>
      <c r="Z131" s="19" t="n">
        <v>0.7326570096336451</v>
      </c>
      <c r="AA131" s="19" t="n">
        <v>0.6561955731785254</v>
      </c>
      <c r="AB131" s="19" t="n">
        <v>0.2270515368535243</v>
      </c>
      <c r="AC131" s="37" t="n"/>
      <c r="AD131" s="19" t="n">
        <v>0.4912487116384135</v>
      </c>
      <c r="AE131" s="19" t="n">
        <v>0.2139586130815177</v>
      </c>
      <c r="AF131" s="19" t="n">
        <v>0.1050511838250529</v>
      </c>
      <c r="AG131" s="37" t="n">
        <v>253.85</v>
      </c>
      <c r="AH131" s="37" t="n">
        <v>5.536743541393403</v>
      </c>
      <c r="AI131" s="37" t="n">
        <v>954</v>
      </c>
      <c r="AJ131" s="37" t="n">
        <v>2.530535295467776</v>
      </c>
    </row>
    <row r="132">
      <c r="A132" s="37" t="n">
        <v>320007</v>
      </c>
      <c r="B132" s="16" t="inlineStr">
        <is>
          <t>蔡嵩松</t>
        </is>
      </c>
      <c r="C132" s="16" t="inlineStr">
        <is>
          <t>诺安成长混合</t>
        </is>
      </c>
      <c r="D132" s="16" t="inlineStr">
        <is>
          <t>极致集中·科技成长轮动型</t>
        </is>
      </c>
      <c r="E132" s="37" t="n">
        <v>320007</v>
      </c>
      <c r="F132" s="38" t="n">
        <v>44562</v>
      </c>
      <c r="G132" s="37" t="n">
        <v>2021</v>
      </c>
      <c r="H132" s="37" t="n">
        <v>4</v>
      </c>
      <c r="I132" s="19" t="n">
        <v>0.0281194756124272</v>
      </c>
      <c r="J132" s="19" t="n">
        <v>0.0256194756124272</v>
      </c>
      <c r="K132" s="19" t="n">
        <v>0.020947304307366</v>
      </c>
      <c r="L132" s="19" t="n">
        <v>0.0178256948352125</v>
      </c>
      <c r="M132" s="37" t="n">
        <v>4574.52</v>
      </c>
      <c r="N132" s="37" t="n">
        <v>621.47</v>
      </c>
      <c r="O132" s="19" t="n">
        <v>0.0121951219512195</v>
      </c>
      <c r="P132" s="19" t="n">
        <v>0.0058823529411764</v>
      </c>
      <c r="Q132" s="37" t="n">
        <v>29.7789642311792</v>
      </c>
      <c r="R132" s="19" t="n">
        <v>0.3942781001465266</v>
      </c>
      <c r="S132" s="19" t="n">
        <v>0.864529</v>
      </c>
      <c r="T132" s="19" t="n">
        <v>0.08516600000000001</v>
      </c>
      <c r="U132" s="19" t="n">
        <v>0.0094022834116856</v>
      </c>
      <c r="V132" s="37" t="n"/>
      <c r="W132" s="19" t="n">
        <v>0.006312769010043</v>
      </c>
      <c r="X132" s="37" t="n">
        <v>0</v>
      </c>
      <c r="Y132" s="19" t="n">
        <v>0.1241693007810978</v>
      </c>
      <c r="Z132" s="19" t="n">
        <v>0.7675808393009624</v>
      </c>
      <c r="AA132" s="19" t="n">
        <v>0.6561955731785254</v>
      </c>
      <c r="AB132" s="19" t="n">
        <v>0.1675257965023365</v>
      </c>
      <c r="AC132" s="37" t="n">
        <v>2.235759420989532</v>
      </c>
      <c r="AD132" s="19" t="n">
        <v>0.4188536696540749</v>
      </c>
      <c r="AE132" s="19" t="n">
        <v>0.1992076846759241</v>
      </c>
      <c r="AF132" s="19" t="n">
        <v>0.0397913156295049</v>
      </c>
      <c r="AG132" s="37" t="n">
        <v>274.08</v>
      </c>
      <c r="AH132" s="37" t="n">
        <v>5.613420034575809</v>
      </c>
      <c r="AI132" s="37" t="n">
        <v>1046</v>
      </c>
      <c r="AJ132" s="37" t="n">
        <v>2.550389206130207</v>
      </c>
    </row>
    <row r="133">
      <c r="A133" s="37" t="n">
        <v>320007</v>
      </c>
      <c r="B133" s="16" t="inlineStr">
        <is>
          <t>蔡嵩松</t>
        </is>
      </c>
      <c r="C133" s="16" t="inlineStr">
        <is>
          <t>诺安成长混合</t>
        </is>
      </c>
      <c r="D133" s="16" t="inlineStr">
        <is>
          <t>极致集中·科技成长轮动型</t>
        </is>
      </c>
      <c r="E133" s="37" t="n">
        <v>320007</v>
      </c>
      <c r="F133" s="38" t="n">
        <v>44652</v>
      </c>
      <c r="G133" s="37" t="n">
        <v>2022</v>
      </c>
      <c r="H133" s="37" t="n">
        <v>1</v>
      </c>
      <c r="I133" s="19" t="n">
        <v>-0.2276434623451563</v>
      </c>
      <c r="J133" s="19" t="n">
        <v>-0.2301434623451563</v>
      </c>
      <c r="K133" s="19" t="n">
        <v>0.020947304307366</v>
      </c>
      <c r="L133" s="19" t="n">
        <v>0.0253132915633468</v>
      </c>
      <c r="M133" s="37" t="n"/>
      <c r="N133" s="37" t="n"/>
      <c r="O133" s="37" t="n"/>
      <c r="P133" s="37" t="n"/>
      <c r="Q133" s="37" t="n">
        <v>29.7789642311792</v>
      </c>
      <c r="R133" s="37" t="n"/>
      <c r="S133" s="19" t="n">
        <v>0.85541</v>
      </c>
      <c r="T133" s="19" t="n">
        <v>0.082083</v>
      </c>
      <c r="U133" s="19" t="n">
        <v>0.000656958283149</v>
      </c>
      <c r="V133" s="37" t="n"/>
      <c r="W133" s="37" t="n"/>
      <c r="X133" s="37" t="n">
        <v>0</v>
      </c>
      <c r="Y133" s="19" t="n">
        <v>0.0937301800313796</v>
      </c>
      <c r="Z133" s="19" t="n">
        <v>0.5915351559488355</v>
      </c>
      <c r="AA133" s="19" t="n">
        <v>0.6561955731785254</v>
      </c>
      <c r="AB133" s="19" t="n">
        <v>0.1590800693348608</v>
      </c>
      <c r="AC133" s="37" t="n">
        <v>2.036933066172225</v>
      </c>
      <c r="AD133" s="19" t="n">
        <v>0.4095373083653142</v>
      </c>
      <c r="AE133" s="19" t="n">
        <v>0.2261455831510793</v>
      </c>
      <c r="AF133" s="19" t="n">
        <v>0.0471733903260521</v>
      </c>
      <c r="AG133" s="37" t="n">
        <v>246.16</v>
      </c>
      <c r="AH133" s="37" t="n">
        <v>5.505981731013787</v>
      </c>
      <c r="AI133" s="37" t="n">
        <v>1136</v>
      </c>
      <c r="AJ133" s="37" t="n">
        <v>2.569437401100902</v>
      </c>
    </row>
    <row r="134">
      <c r="A134" s="37" t="n">
        <v>320007</v>
      </c>
      <c r="B134" s="16" t="inlineStr">
        <is>
          <t>蔡嵩松</t>
        </is>
      </c>
      <c r="C134" s="16" t="inlineStr">
        <is>
          <t>诺安成长混合</t>
        </is>
      </c>
      <c r="D134" s="16" t="inlineStr">
        <is>
          <t>极致集中·科技成长轮动型</t>
        </is>
      </c>
      <c r="E134" s="37" t="n">
        <v>320007</v>
      </c>
      <c r="F134" s="38" t="n">
        <v>44743</v>
      </c>
      <c r="G134" s="37" t="n">
        <v>2022</v>
      </c>
      <c r="H134" s="37" t="n">
        <v>2</v>
      </c>
      <c r="I134" s="19" t="n">
        <v>-0.0074915439224001</v>
      </c>
      <c r="J134" s="19" t="n">
        <v>-0.009991543922400099</v>
      </c>
      <c r="K134" s="19" t="n">
        <v>0.020947304307366</v>
      </c>
      <c r="L134" s="19" t="n">
        <v>0.0246130786127063</v>
      </c>
      <c r="M134" s="37" t="n">
        <v>3654.93</v>
      </c>
      <c r="N134" s="37" t="n">
        <v>1706.97</v>
      </c>
      <c r="O134" s="37" t="n">
        <v>0</v>
      </c>
      <c r="P134" s="37" t="n">
        <v>0</v>
      </c>
      <c r="Q134" s="37" t="n">
        <v>52.7314048923381</v>
      </c>
      <c r="R134" s="19" t="n">
        <v>0.2810293770801121</v>
      </c>
      <c r="S134" s="19" t="n">
        <v>0.86672</v>
      </c>
      <c r="T134" s="19" t="n">
        <v>0.077446</v>
      </c>
      <c r="U134" s="19" t="n">
        <v>0.0008595680670462</v>
      </c>
      <c r="V134" s="37" t="n">
        <v>1.005585599527172</v>
      </c>
      <c r="W134" s="37" t="n">
        <v>0</v>
      </c>
      <c r="X134" s="37" t="n">
        <v>0</v>
      </c>
      <c r="Y134" s="19" t="n">
        <v>0.08312572226445809</v>
      </c>
      <c r="Z134" s="19" t="n">
        <v>0.5722288680476207</v>
      </c>
      <c r="AA134" s="19" t="n">
        <v>0.6561955731785254</v>
      </c>
      <c r="AB134" s="19" t="n">
        <v>-0.0224559382308322</v>
      </c>
      <c r="AC134" s="19" t="n">
        <v>0.6298749283604939</v>
      </c>
      <c r="AD134" s="19" t="n">
        <v>0.2257900027094994</v>
      </c>
      <c r="AE134" s="19" t="n">
        <v>0.184873947150181</v>
      </c>
      <c r="AF134" s="19" t="n">
        <v>0.0865188410069148</v>
      </c>
      <c r="AG134" s="37" t="n">
        <v>266.36</v>
      </c>
      <c r="AH134" s="37" t="n">
        <v>5.584848777242422</v>
      </c>
      <c r="AI134" s="37" t="n">
        <v>1227</v>
      </c>
      <c r="AJ134" s="37" t="n">
        <v>2.58833527426397</v>
      </c>
    </row>
    <row r="135">
      <c r="A135" s="37" t="n">
        <v>320007</v>
      </c>
      <c r="B135" s="16" t="inlineStr">
        <is>
          <t>蔡嵩松</t>
        </is>
      </c>
      <c r="C135" s="16" t="inlineStr">
        <is>
          <t>诺安成长混合</t>
        </is>
      </c>
      <c r="D135" s="16" t="inlineStr">
        <is>
          <t>极致集中·科技成长轮动型</t>
        </is>
      </c>
      <c r="E135" s="37" t="n">
        <v>320007</v>
      </c>
      <c r="F135" s="38" t="n">
        <v>44835</v>
      </c>
      <c r="G135" s="37" t="n">
        <v>2022</v>
      </c>
      <c r="H135" s="37" t="n">
        <v>3</v>
      </c>
      <c r="I135" s="19" t="n">
        <v>-0.2105818899565796</v>
      </c>
      <c r="J135" s="19" t="n">
        <v>-0.2130818899565796</v>
      </c>
      <c r="K135" s="19" t="n">
        <v>0.020947304307366</v>
      </c>
      <c r="L135" s="19" t="n">
        <v>0.0261329839104279</v>
      </c>
      <c r="M135" s="37" t="n"/>
      <c r="N135" s="37" t="n"/>
      <c r="O135" s="37" t="n"/>
      <c r="P135" s="37" t="n"/>
      <c r="Q135" s="37" t="n">
        <v>52.7314048923381</v>
      </c>
      <c r="R135" s="37" t="n"/>
      <c r="S135" s="19" t="n">
        <v>0.81913</v>
      </c>
      <c r="T135" s="19" t="n">
        <v>0.072965</v>
      </c>
      <c r="U135" s="19" t="n">
        <v>0.0008595680670462</v>
      </c>
      <c r="V135" s="19" t="n">
        <v>0.7394747237770449</v>
      </c>
      <c r="W135" s="37" t="n"/>
      <c r="X135" s="37" t="n">
        <v>0</v>
      </c>
      <c r="Y135" s="19" t="n">
        <v>0.0705419673542735</v>
      </c>
      <c r="Z135" s="19" t="n">
        <v>0.4701437324473719</v>
      </c>
      <c r="AA135" s="19" t="n">
        <v>0.6561955731785254</v>
      </c>
      <c r="AB135" s="19" t="n">
        <v>-0.1399819636164921</v>
      </c>
      <c r="AC135" s="19" t="n">
        <v>0.0357499122967562</v>
      </c>
      <c r="AD135" s="19" t="n">
        <v>0.0165314790052612</v>
      </c>
      <c r="AE135" s="19" t="n">
        <v>0.1983839047092957</v>
      </c>
      <c r="AF135" s="19" t="n">
        <v>0.1747869016816699</v>
      </c>
      <c r="AG135" s="37" t="n">
        <v>239.83</v>
      </c>
      <c r="AH135" s="37" t="n">
        <v>5.479930339022074</v>
      </c>
      <c r="AI135" s="37" t="n">
        <v>1319</v>
      </c>
      <c r="AJ135" s="37" t="n">
        <v>2.607084549806753</v>
      </c>
    </row>
    <row r="136">
      <c r="A136" s="37" t="n">
        <v>320007</v>
      </c>
      <c r="B136" s="16" t="inlineStr">
        <is>
          <t>蔡嵩松</t>
        </is>
      </c>
      <c r="C136" s="16" t="inlineStr">
        <is>
          <t>诺安成长混合</t>
        </is>
      </c>
      <c r="D136" s="16" t="inlineStr">
        <is>
          <t>极致集中·科技成长轮动型</t>
        </is>
      </c>
      <c r="E136" s="37" t="n">
        <v>320007</v>
      </c>
      <c r="F136" s="38" t="n">
        <v>44927</v>
      </c>
      <c r="G136" s="37" t="n">
        <v>2022</v>
      </c>
      <c r="H136" s="37" t="n">
        <v>4</v>
      </c>
      <c r="I136" s="19" t="n">
        <v>-0.009620784841489901</v>
      </c>
      <c r="J136" s="19" t="n">
        <v>-0.0121207848414899</v>
      </c>
      <c r="K136" s="19" t="n">
        <v>0.020947304307366</v>
      </c>
      <c r="L136" s="19" t="n">
        <v>0.0433418724770922</v>
      </c>
      <c r="M136" s="37" t="n">
        <v>551.0700000000001</v>
      </c>
      <c r="N136" s="37" t="n">
        <v>10503.75</v>
      </c>
      <c r="O136" s="19" t="n">
        <v>0.976303317535545</v>
      </c>
      <c r="P136" s="19" t="n">
        <v>0.9543147208121828</v>
      </c>
      <c r="Q136" s="37" t="n">
        <v>44.2543267457271</v>
      </c>
      <c r="R136" s="19" t="n">
        <v>0.9981977068618972</v>
      </c>
      <c r="S136" s="19" t="n">
        <v>0.7267709999999999</v>
      </c>
      <c r="T136" s="19" t="n">
        <v>0.07055400000000001</v>
      </c>
      <c r="U136" s="37" t="n">
        <v>0</v>
      </c>
      <c r="V136" s="19" t="n">
        <v>0.7444205326388194</v>
      </c>
      <c r="W136" s="19" t="n">
        <v>0.0219885967233622</v>
      </c>
      <c r="X136" s="37" t="n">
        <v>0</v>
      </c>
      <c r="Y136" s="19" t="n">
        <v>0.0924645991726014</v>
      </c>
      <c r="Z136" s="19" t="n">
        <v>0.4921027755156846</v>
      </c>
      <c r="AA136" s="19" t="n">
        <v>0.6561955731785254</v>
      </c>
      <c r="AB136" s="19" t="n">
        <v>-0.2324519853432978</v>
      </c>
      <c r="AC136" s="19" t="n">
        <v>-0.124188091714934</v>
      </c>
      <c r="AD136" s="19" t="n">
        <v>-0.062316574252022</v>
      </c>
      <c r="AE136" s="19" t="n">
        <v>0.193898199943427</v>
      </c>
      <c r="AF136" s="19" t="n">
        <v>0.0525915626981837</v>
      </c>
      <c r="AG136" s="37" t="n">
        <v>248.59</v>
      </c>
      <c r="AH136" s="37" t="n">
        <v>5.515804953006089</v>
      </c>
      <c r="AI136" s="37" t="n">
        <v>1411</v>
      </c>
      <c r="AJ136" s="37" t="n">
        <v>2.625488750006224</v>
      </c>
    </row>
    <row r="137">
      <c r="A137" s="37" t="n">
        <v>320007</v>
      </c>
      <c r="B137" s="16" t="inlineStr">
        <is>
          <t>蔡嵩松</t>
        </is>
      </c>
      <c r="C137" s="16" t="inlineStr">
        <is>
          <t>诺安成长混合</t>
        </is>
      </c>
      <c r="D137" s="16" t="inlineStr">
        <is>
          <t>极致集中·科技成长轮动型</t>
        </is>
      </c>
      <c r="E137" s="37" t="n">
        <v>320007</v>
      </c>
      <c r="F137" s="38" t="n">
        <v>45017</v>
      </c>
      <c r="G137" s="37" t="n">
        <v>2023</v>
      </c>
      <c r="H137" s="37" t="n">
        <v>1</v>
      </c>
      <c r="I137" s="19" t="n">
        <v>0.1425613555402778</v>
      </c>
      <c r="J137" s="19" t="n">
        <v>0.1400613555402778</v>
      </c>
      <c r="K137" s="19" t="n">
        <v>0.020947304307366</v>
      </c>
      <c r="L137" s="19" t="n">
        <v>0.0679542456399561</v>
      </c>
      <c r="M137" s="37" t="n"/>
      <c r="N137" s="37" t="n"/>
      <c r="O137" s="37" t="n"/>
      <c r="P137" s="37" t="n"/>
      <c r="Q137" s="37" t="n">
        <v>44.2543267457271</v>
      </c>
      <c r="R137" s="37" t="n"/>
      <c r="S137" s="19" t="n">
        <v>0.817485</v>
      </c>
      <c r="T137" s="19" t="n">
        <v>0.08765299999999999</v>
      </c>
      <c r="U137" s="37" t="n">
        <v>0</v>
      </c>
      <c r="V137" s="19" t="n">
        <v>0.0270254442389493</v>
      </c>
      <c r="W137" s="37" t="n"/>
      <c r="X137" s="37" t="n">
        <v>0</v>
      </c>
      <c r="Y137" s="19" t="n">
        <v>0.0537605406480499</v>
      </c>
      <c r="Z137" s="19" t="n">
        <v>0.5912410162413162</v>
      </c>
      <c r="AA137" s="19" t="n">
        <v>0.6561955731785254</v>
      </c>
      <c r="AB137" s="19" t="n">
        <v>-0.273513618217797</v>
      </c>
      <c r="AC137" s="19" t="n">
        <v>-0.2553899252980455</v>
      </c>
      <c r="AD137" s="19" t="n">
        <v>-0.1312880363859288</v>
      </c>
      <c r="AE137" s="19" t="n">
        <v>0.1978990372637895</v>
      </c>
      <c r="AF137" s="19" t="n">
        <v>0.0548090026497466</v>
      </c>
      <c r="AG137" s="37" t="n">
        <v>276.1</v>
      </c>
      <c r="AH137" s="37" t="n">
        <v>5.620763118936109</v>
      </c>
      <c r="AI137" s="37" t="n">
        <v>42</v>
      </c>
      <c r="AJ137" s="37" t="n">
        <v>2.643170939581173</v>
      </c>
    </row>
    <row r="138">
      <c r="A138" s="37" t="n">
        <v>320007</v>
      </c>
      <c r="B138" s="16" t="inlineStr">
        <is>
          <t>蔡嵩松</t>
        </is>
      </c>
      <c r="C138" s="16" t="inlineStr">
        <is>
          <t>诺安成长混合</t>
        </is>
      </c>
      <c r="D138" s="16" t="inlineStr">
        <is>
          <t>极致集中·科技成长轮动型</t>
        </is>
      </c>
      <c r="E138" s="37" t="n">
        <v>320007</v>
      </c>
      <c r="F138" s="38" t="n">
        <v>45108</v>
      </c>
      <c r="G138" s="37" t="n">
        <v>2023</v>
      </c>
      <c r="H138" s="37" t="n">
        <v>2</v>
      </c>
      <c r="I138" s="19" t="n">
        <v>-0.0673688246465572</v>
      </c>
      <c r="J138" s="19" t="n">
        <v>-0.06986882464655721</v>
      </c>
      <c r="K138" s="19" t="n">
        <v>0.020947304307366</v>
      </c>
      <c r="L138" s="19" t="n">
        <v>0.0070061179908133</v>
      </c>
      <c r="M138" s="37" t="n">
        <v>2034.16</v>
      </c>
      <c r="N138" s="37" t="n">
        <v>229.61</v>
      </c>
      <c r="O138" s="19" t="n">
        <v>0.5</v>
      </c>
      <c r="P138" s="19" t="n">
        <v>0.6818181818181818</v>
      </c>
      <c r="Q138" s="37" t="n">
        <v>47.7063922679909</v>
      </c>
      <c r="R138" s="19" t="n">
        <v>0.7735021270052792</v>
      </c>
      <c r="S138" s="19" t="n">
        <v>0.745599</v>
      </c>
      <c r="T138" s="19" t="n">
        <v>0.07317899999999999</v>
      </c>
      <c r="U138" s="37" t="n">
        <v>0</v>
      </c>
      <c r="V138" s="19" t="n">
        <v>0.3414557516728275</v>
      </c>
      <c r="W138" s="19" t="n">
        <v>-0.1818181818181817</v>
      </c>
      <c r="X138" s="37" t="n">
        <v>3.452065522263801</v>
      </c>
      <c r="Y138" s="19" t="n">
        <v>-0.0338641356649818</v>
      </c>
      <c r="Z138" s="19" t="n">
        <v>0.585760523334981</v>
      </c>
      <c r="AA138" s="19" t="n">
        <v>0.6561955731785254</v>
      </c>
      <c r="AB138" s="19" t="n">
        <v>-0.1589168330756397</v>
      </c>
      <c r="AC138" s="19" t="n">
        <v>0.0600223422673645</v>
      </c>
      <c r="AD138" s="19" t="n">
        <v>0.0337355687126831</v>
      </c>
      <c r="AE138" s="19" t="n">
        <v>0.1223281644695321</v>
      </c>
      <c r="AF138" s="19" t="n">
        <v>0.0730182106448547</v>
      </c>
      <c r="AG138" s="37" t="n">
        <v>226.93</v>
      </c>
      <c r="AH138" s="37" t="n">
        <v>5.424641599881531</v>
      </c>
      <c r="AI138" s="37" t="n">
        <v>133</v>
      </c>
      <c r="AJ138" s="37" t="n">
        <v>2.660737263299072</v>
      </c>
    </row>
    <row r="139">
      <c r="A139" s="37" t="n">
        <v>320007</v>
      </c>
      <c r="B139" s="16" t="inlineStr">
        <is>
          <t>蔡嵩松</t>
        </is>
      </c>
      <c r="C139" s="16" t="inlineStr">
        <is>
          <t>诺安成长混合</t>
        </is>
      </c>
      <c r="D139" s="16" t="inlineStr">
        <is>
          <t>极致集中·科技成长轮动型</t>
        </is>
      </c>
      <c r="E139" s="37" t="n">
        <v>320007</v>
      </c>
      <c r="F139" s="38" t="n">
        <v>45200</v>
      </c>
      <c r="G139" s="37" t="n">
        <v>2023</v>
      </c>
      <c r="H139" s="37" t="n">
        <v>3</v>
      </c>
      <c r="I139" s="19" t="n">
        <v>-0.0766089747905609</v>
      </c>
      <c r="J139" s="19" t="n">
        <v>-0.07910897479056089</v>
      </c>
      <c r="K139" s="19" t="n">
        <v>0.020947304307366</v>
      </c>
      <c r="L139" s="19" t="n">
        <v>0.0111471659127859</v>
      </c>
      <c r="M139" s="37" t="n"/>
      <c r="N139" s="37" t="n"/>
      <c r="O139" s="37" t="n"/>
      <c r="P139" s="37" t="n"/>
      <c r="Q139" s="37" t="n">
        <v>47.7063922679909</v>
      </c>
      <c r="R139" s="37" t="n"/>
      <c r="S139" s="19" t="n">
        <v>0.7458129999999999</v>
      </c>
      <c r="T139" s="19" t="n">
        <v>0.077584</v>
      </c>
      <c r="U139" s="37" t="n">
        <v>0</v>
      </c>
      <c r="V139" s="37" t="n">
        <v>1.156629697789668</v>
      </c>
      <c r="W139" s="37" t="n"/>
      <c r="X139" s="37" t="n">
        <v>0</v>
      </c>
      <c r="Y139" s="19" t="n">
        <v>-0.0308379720904975</v>
      </c>
      <c r="Z139" s="19" t="n">
        <v>0.5117715602944173</v>
      </c>
      <c r="AA139" s="19" t="n">
        <v>0.6561955731785254</v>
      </c>
      <c r="AB139" s="19" t="n">
        <v>-0.3011130871460603</v>
      </c>
      <c r="AC139" s="19" t="n">
        <v>-0.5093903108505232</v>
      </c>
      <c r="AD139" s="19" t="n">
        <v>-0.4175413896262501</v>
      </c>
      <c r="AE139" s="19" t="n">
        <v>0.1225901210366164</v>
      </c>
      <c r="AF139" s="19" t="n">
        <v>0.1019479786154534</v>
      </c>
      <c r="AG139" s="37" t="n">
        <v>209.29</v>
      </c>
      <c r="AH139" s="37" t="n">
        <v>5.343720850001886</v>
      </c>
      <c r="AI139" s="37" t="n">
        <v>225</v>
      </c>
      <c r="AJ139" s="37" t="n">
        <v>2.678188389021479</v>
      </c>
    </row>
    <row r="140">
      <c r="A140" s="37" t="n">
        <v>320007</v>
      </c>
      <c r="B140" s="16" t="inlineStr">
        <is>
          <t>蔡嵩松</t>
        </is>
      </c>
      <c r="C140" s="16" t="inlineStr">
        <is>
          <t>诺安成长混合</t>
        </is>
      </c>
      <c r="D140" s="16" t="inlineStr">
        <is>
          <t>极致集中·科技成长轮动型</t>
        </is>
      </c>
      <c r="E140" s="37" t="n">
        <v>320007</v>
      </c>
      <c r="F140" s="38" t="n">
        <v>45292</v>
      </c>
      <c r="G140" s="37" t="n">
        <v>2023</v>
      </c>
      <c r="H140" s="37" t="n">
        <v>4</v>
      </c>
      <c r="I140" s="19" t="n">
        <v>-0.0158967091875815</v>
      </c>
      <c r="J140" s="19" t="n">
        <v>-0.0183967091875815</v>
      </c>
      <c r="K140" s="19" t="n">
        <v>0.020947304307366</v>
      </c>
      <c r="L140" s="19" t="n">
        <v>0.0380843085756482</v>
      </c>
      <c r="M140" s="37" t="n">
        <v>1123.15</v>
      </c>
      <c r="N140" s="37" t="n">
        <v>2297.420000000001</v>
      </c>
      <c r="O140" s="19" t="n">
        <v>0.673469387755102</v>
      </c>
      <c r="P140" s="19" t="n">
        <v>0.6736842105263158</v>
      </c>
      <c r="Q140" s="37" t="n">
        <v>24.9714786793027</v>
      </c>
      <c r="R140" s="19" t="n">
        <v>0.9616635694264436</v>
      </c>
      <c r="S140" s="19" t="n">
        <v>0.698183</v>
      </c>
      <c r="T140" s="19" t="n">
        <v>0.058443</v>
      </c>
      <c r="U140" s="37" t="n">
        <v>0</v>
      </c>
      <c r="V140" s="19" t="n">
        <v>0.5473984623291814</v>
      </c>
      <c r="W140" s="19" t="n">
        <v>-0.0002148227712137</v>
      </c>
      <c r="X140" s="37" t="n">
        <v>0</v>
      </c>
      <c r="Y140" s="37" t="n"/>
      <c r="Z140" s="19" t="n">
        <v>0.5767300764228236</v>
      </c>
      <c r="AA140" s="19" t="n">
        <v>0.6561955731785254</v>
      </c>
      <c r="AB140" s="19" t="n">
        <v>-0.3219137882669957</v>
      </c>
      <c r="AC140" s="19" t="n">
        <v>-0.57928198140343</v>
      </c>
      <c r="AD140" s="19" t="n">
        <v>-0.458167480925325</v>
      </c>
      <c r="AE140" s="19" t="n">
        <v>0.1193414202392506</v>
      </c>
      <c r="AF140" s="19" t="n">
        <v>0.1029083077462182</v>
      </c>
      <c r="AG140" s="37" t="n">
        <v>196.31</v>
      </c>
      <c r="AH140" s="37" t="n">
        <v>5.279695042419942</v>
      </c>
      <c r="AI140" s="37" t="n">
        <v>317</v>
      </c>
      <c r="AJ140" s="37" t="n">
        <v>2.695340189059042</v>
      </c>
    </row>
    <row r="141">
      <c r="A141" s="37" t="n">
        <v>320007</v>
      </c>
      <c r="B141" s="16" t="inlineStr">
        <is>
          <t>蔡嵩松</t>
        </is>
      </c>
      <c r="C141" s="16" t="inlineStr">
        <is>
          <t>诺安成长混合</t>
        </is>
      </c>
      <c r="D141" s="16" t="inlineStr">
        <is>
          <t>极致集中·科技成长轮动型</t>
        </is>
      </c>
      <c r="E141" s="37" t="n">
        <v>320007</v>
      </c>
      <c r="F141" s="38" t="n">
        <v>45383</v>
      </c>
      <c r="G141" s="37" t="n">
        <v>2024</v>
      </c>
      <c r="H141" s="37" t="n">
        <v>1</v>
      </c>
      <c r="I141" s="19" t="n">
        <v>-0.109355601228145</v>
      </c>
      <c r="J141" s="19" t="n">
        <v>-0.111855601228145</v>
      </c>
      <c r="K141" s="19" t="n">
        <v>0.020947304307366</v>
      </c>
      <c r="L141" s="19" t="n">
        <v>0.07075210725510681</v>
      </c>
      <c r="M141" s="37" t="n"/>
      <c r="N141" s="37" t="n"/>
      <c r="O141" s="37" t="n"/>
      <c r="P141" s="37" t="n"/>
      <c r="Q141" s="37" t="n">
        <v>24.9714786793027</v>
      </c>
      <c r="R141" s="37" t="n"/>
      <c r="S141" s="19" t="n">
        <v>0.735187</v>
      </c>
      <c r="T141" s="19" t="n">
        <v>0.08390599999999999</v>
      </c>
      <c r="U141" s="37" t="n">
        <v>0</v>
      </c>
      <c r="V141" s="19" t="n">
        <v>0.337952611648829</v>
      </c>
      <c r="W141" s="37" t="n"/>
      <c r="X141" s="37" t="n">
        <v>0</v>
      </c>
      <c r="Y141" s="37" t="n"/>
      <c r="Z141" s="19" t="n">
        <v>0.5243761196494989</v>
      </c>
      <c r="AA141" s="19" t="n">
        <v>0.6561955731785254</v>
      </c>
      <c r="AB141" s="19" t="n">
        <v>-0.340335262099641</v>
      </c>
      <c r="AC141" s="19" t="n">
        <v>-0.6558031853612445</v>
      </c>
      <c r="AD141" s="19" t="n">
        <v>-0.5168467186788044</v>
      </c>
      <c r="AE141" s="19" t="n">
        <v>0.1014259636626637</v>
      </c>
      <c r="AF141" s="19" t="n">
        <v>0.1386584522187372</v>
      </c>
      <c r="AG141" s="37" t="n">
        <v>167.73</v>
      </c>
      <c r="AH141" s="37" t="n">
        <v>5.122355543706664</v>
      </c>
      <c r="AI141" s="37" t="n">
        <v>408</v>
      </c>
      <c r="AJ141" s="37" t="n">
        <v>2.712020990093972</v>
      </c>
    </row>
    <row r="142">
      <c r="A142" s="37" t="n">
        <v>320007</v>
      </c>
      <c r="B142" s="16" t="inlineStr">
        <is>
          <t>蔡嵩松</t>
        </is>
      </c>
      <c r="C142" s="16" t="inlineStr">
        <is>
          <t>诺安成长混合</t>
        </is>
      </c>
      <c r="D142" s="16" t="inlineStr">
        <is>
          <t>极致集中·科技成长轮动型</t>
        </is>
      </c>
      <c r="E142" s="37" t="n">
        <v>320007</v>
      </c>
      <c r="F142" s="38" t="n">
        <v>45474</v>
      </c>
      <c r="G142" s="37" t="n">
        <v>2024</v>
      </c>
      <c r="H142" s="37" t="n">
        <v>2</v>
      </c>
      <c r="I142" s="19" t="n">
        <v>-0.019933601048464</v>
      </c>
      <c r="J142" s="19" t="n">
        <v>-0.022433601048464</v>
      </c>
      <c r="K142" s="19" t="n">
        <v>0.020947304307366</v>
      </c>
      <c r="L142" s="19" t="n">
        <v>0.020643383511323</v>
      </c>
      <c r="M142" s="37" t="n">
        <v>55.86</v>
      </c>
      <c r="N142" s="37" t="n">
        <v>1180.62</v>
      </c>
      <c r="O142" s="19" t="n">
        <v>0.7619047619047619</v>
      </c>
      <c r="P142" s="19" t="n">
        <v>0.8495575221238938</v>
      </c>
      <c r="Q142" s="37" t="n">
        <v>43.8413592898219</v>
      </c>
      <c r="R142" s="19" t="n">
        <v>0.9829716193656092</v>
      </c>
      <c r="S142" s="19" t="n">
        <v>0.836417</v>
      </c>
      <c r="T142" s="19" t="n">
        <v>0.063183</v>
      </c>
      <c r="U142" s="37" t="n">
        <v>0</v>
      </c>
      <c r="V142" s="19" t="n">
        <v>0.1226652179832889</v>
      </c>
      <c r="W142" s="19" t="n">
        <v>-0.0876527602191319</v>
      </c>
      <c r="X142" s="37" t="n">
        <v>0</v>
      </c>
      <c r="Y142" s="37" t="n"/>
      <c r="Z142" s="19" t="n">
        <v>0.5249434969615298</v>
      </c>
      <c r="AA142" s="19" t="n">
        <v>0.6561955731785254</v>
      </c>
      <c r="AB142" s="19" t="n">
        <v>-0.2502320338227237</v>
      </c>
      <c r="AC142" s="19" t="n">
        <v>-0.6424202711874941</v>
      </c>
      <c r="AD142" s="19" t="n">
        <v>-0.4622460039403491</v>
      </c>
      <c r="AE142" s="19" t="n">
        <v>0.1008638234561629</v>
      </c>
      <c r="AF142" s="19" t="n">
        <v>0.0242177096371955</v>
      </c>
      <c r="AG142" s="37" t="n">
        <v>159.46</v>
      </c>
      <c r="AH142" s="37" t="n">
        <v>5.07179310707435</v>
      </c>
      <c r="AI142" s="37" t="n">
        <v>499</v>
      </c>
      <c r="AJ142" s="37" t="n">
        <v>2.728428101132161</v>
      </c>
    </row>
    <row r="143">
      <c r="A143" s="37" t="n">
        <v>320007</v>
      </c>
      <c r="B143" s="16" t="inlineStr">
        <is>
          <t>蔡嵩松</t>
        </is>
      </c>
      <c r="C143" s="16" t="inlineStr">
        <is>
          <t>诺安成长混合</t>
        </is>
      </c>
      <c r="D143" s="16" t="inlineStr">
        <is>
          <t>极致集中·科技成长轮动型</t>
        </is>
      </c>
      <c r="E143" s="37" t="n">
        <v>320007</v>
      </c>
      <c r="F143" s="38" t="n">
        <v>45566</v>
      </c>
      <c r="G143" s="37" t="n">
        <v>2024</v>
      </c>
      <c r="H143" s="37" t="n">
        <v>3</v>
      </c>
      <c r="I143" s="19" t="n">
        <v>0.1306236826167484</v>
      </c>
      <c r="J143" s="19" t="n">
        <v>0.1281236826167484</v>
      </c>
      <c r="K143" s="19" t="n">
        <v>0.020947304307366</v>
      </c>
      <c r="L143" s="19" t="n">
        <v>0.0474972042102368</v>
      </c>
      <c r="M143" s="37" t="n"/>
      <c r="N143" s="37" t="n"/>
      <c r="O143" s="37" t="n"/>
      <c r="P143" s="37" t="n"/>
      <c r="Q143" s="37" t="n">
        <v>43.8413592898219</v>
      </c>
      <c r="R143" s="37" t="n"/>
      <c r="S143" s="19" t="n">
        <v>0.79369</v>
      </c>
      <c r="T143" s="19" t="n">
        <v>0.069132</v>
      </c>
      <c r="U143" s="37" t="n">
        <v>0</v>
      </c>
      <c r="V143" s="19" t="n">
        <v>0.6449595723587046</v>
      </c>
      <c r="W143" s="37" t="n"/>
      <c r="X143" s="37" t="n">
        <v>0</v>
      </c>
      <c r="Y143" s="19" t="n">
        <v>-0.0304962331800398</v>
      </c>
      <c r="Z143" s="19" t="n">
        <v>0.7050704502277316</v>
      </c>
      <c r="AA143" s="19" t="n">
        <v>0.6561955731785254</v>
      </c>
      <c r="AB143" s="19" t="n">
        <v>-0.2559744439228372</v>
      </c>
      <c r="AC143" s="19" t="n">
        <v>-0.6793949441527689</v>
      </c>
      <c r="AD143" s="19" t="n">
        <v>-0.4802279654558229</v>
      </c>
      <c r="AE143" s="19" t="n">
        <v>0.0929830640077305</v>
      </c>
      <c r="AF143" s="19" t="n">
        <v>0.1180805087111431</v>
      </c>
      <c r="AG143" s="37" t="n">
        <v>177.75</v>
      </c>
      <c r="AH143" s="37" t="n">
        <v>5.18037806868335</v>
      </c>
      <c r="AI143" s="37" t="n">
        <v>591</v>
      </c>
      <c r="AJ143" s="37" t="n">
        <v>2.744746306435506</v>
      </c>
    </row>
    <row r="144">
      <c r="A144" s="37" t="n">
        <v>320007</v>
      </c>
      <c r="B144" s="16" t="inlineStr">
        <is>
          <t>蔡嵩松</t>
        </is>
      </c>
      <c r="C144" s="16" t="inlineStr">
        <is>
          <t>诺安成长混合</t>
        </is>
      </c>
      <c r="D144" s="16" t="inlineStr">
        <is>
          <t>极致集中·科技成长轮动型</t>
        </is>
      </c>
      <c r="E144" s="37" t="n">
        <v>320007</v>
      </c>
      <c r="F144" s="38" t="n">
        <v>45658</v>
      </c>
      <c r="G144" s="37" t="n">
        <v>2024</v>
      </c>
      <c r="H144" s="37" t="n">
        <v>4</v>
      </c>
      <c r="I144" s="19" t="n">
        <v>0.1365687002611795</v>
      </c>
      <c r="J144" s="19" t="n">
        <v>0.1340687002611795</v>
      </c>
      <c r="K144" s="19" t="n">
        <v>0.020947304307366</v>
      </c>
      <c r="L144" s="19" t="n">
        <v>0.0421259549678991</v>
      </c>
      <c r="M144" s="37" t="n">
        <v>1623.89</v>
      </c>
      <c r="N144" s="37" t="n">
        <v>5.389999999999997</v>
      </c>
      <c r="O144" s="19" t="n">
        <v>0.2222222222222222</v>
      </c>
      <c r="P144" s="19" t="n">
        <v>0.0666666666666666</v>
      </c>
      <c r="Q144" s="37" t="n">
        <v>33.5735983225664</v>
      </c>
      <c r="R144" s="19" t="n">
        <v>0.9301454636797518</v>
      </c>
      <c r="S144" s="19" t="n">
        <v>0.688655</v>
      </c>
      <c r="T144" s="19" t="n">
        <v>0.054546</v>
      </c>
      <c r="U144" s="19" t="n">
        <v>0.0133190118152524</v>
      </c>
      <c r="V144" s="19" t="n">
        <v>0.6324710449902345</v>
      </c>
      <c r="W144" s="19" t="n">
        <v>0.1555555555555555</v>
      </c>
      <c r="X144" s="37" t="n">
        <v>-10.2677609672555</v>
      </c>
      <c r="Y144" s="19" t="n">
        <v>-0.0300428980045535</v>
      </c>
      <c r="Z144" s="19" t="n">
        <v>0.8231363717315715</v>
      </c>
      <c r="AA144" s="19" t="n">
        <v>0.6561955731785254</v>
      </c>
      <c r="AB144" s="19" t="n">
        <v>-0.0653707603191591</v>
      </c>
      <c r="AC144" s="19" t="n">
        <v>-0.140492528537564</v>
      </c>
      <c r="AD144" s="19" t="n">
        <v>-0.0613554380666142</v>
      </c>
      <c r="AE144" s="19" t="n">
        <v>0.1051368589378203</v>
      </c>
      <c r="AF144" s="19" t="n">
        <v>0.1243360221021156</v>
      </c>
      <c r="AG144" s="37" t="n">
        <v>196.08</v>
      </c>
      <c r="AH144" s="37" t="n">
        <v>5.278522739219857</v>
      </c>
      <c r="AI144" s="37" t="n">
        <v>683</v>
      </c>
      <c r="AJ144" s="37" t="n">
        <v>2.760802497791177</v>
      </c>
    </row>
    <row r="145">
      <c r="A145" s="37" t="n">
        <v>320007</v>
      </c>
      <c r="B145" s="16" t="inlineStr">
        <is>
          <t>蔡嵩松</t>
        </is>
      </c>
      <c r="C145" s="16" t="inlineStr">
        <is>
          <t>诺安成长混合</t>
        </is>
      </c>
      <c r="D145" s="16" t="inlineStr">
        <is>
          <t>极致集中·科技成长轮动型</t>
        </is>
      </c>
      <c r="E145" s="37" t="n">
        <v>320007</v>
      </c>
      <c r="F145" s="38" t="n">
        <v>45748</v>
      </c>
      <c r="G145" s="37" t="n">
        <v>2025</v>
      </c>
      <c r="H145" s="37" t="n">
        <v>1</v>
      </c>
      <c r="I145" s="19" t="n">
        <v>0.0370328810066142</v>
      </c>
      <c r="J145" s="19" t="n">
        <v>0.0345328810066142</v>
      </c>
      <c r="K145" s="19" t="n">
        <v>0.020947304307366</v>
      </c>
      <c r="L145" s="19" t="n">
        <v>0.036477789939821</v>
      </c>
      <c r="M145" s="37" t="n"/>
      <c r="N145" s="37" t="n"/>
      <c r="O145" s="37" t="n"/>
      <c r="P145" s="37" t="n"/>
      <c r="Q145" s="37" t="n">
        <v>33.5735983225664</v>
      </c>
      <c r="R145" s="37" t="n"/>
      <c r="S145" s="19" t="n">
        <v>0.696184</v>
      </c>
      <c r="T145" s="19" t="n">
        <v>0.079304</v>
      </c>
      <c r="U145" s="19" t="n">
        <v>0.0133190118152524</v>
      </c>
      <c r="V145" s="19" t="n">
        <v>0.278363174354867</v>
      </c>
      <c r="W145" s="37" t="n"/>
      <c r="X145" s="37" t="n">
        <v>0</v>
      </c>
      <c r="Y145" s="19" t="n">
        <v>0.0102759942311537</v>
      </c>
      <c r="Z145" s="19" t="n">
        <v>0.8332148878464724</v>
      </c>
      <c r="AA145" s="19" t="n">
        <v>0.6561955731785254</v>
      </c>
      <c r="AB145" s="19" t="n">
        <v>-0.0047873920164243</v>
      </c>
      <c r="AC145" s="19" t="n">
        <v>0.3170033432747531</v>
      </c>
      <c r="AD145" s="19" t="n">
        <v>0.1197029309616755</v>
      </c>
      <c r="AE145" s="19" t="n">
        <v>0.0925901967413562</v>
      </c>
      <c r="AF145" s="19" t="n">
        <v>0.0639487084248154</v>
      </c>
      <c r="AG145" s="37" t="n">
        <v>187.91</v>
      </c>
      <c r="AH145" s="37" t="n">
        <v>5.235963124801061</v>
      </c>
      <c r="AI145" s="37" t="n">
        <v>773</v>
      </c>
      <c r="AJ145" s="37" t="n">
        <v>2.776264066755911</v>
      </c>
    </row>
    <row r="146">
      <c r="A146" s="37" t="n">
        <v>320007</v>
      </c>
      <c r="B146" s="16" t="inlineStr">
        <is>
          <t>蔡嵩松</t>
        </is>
      </c>
      <c r="C146" s="16" t="inlineStr">
        <is>
          <t>诺安成长混合</t>
        </is>
      </c>
      <c r="D146" s="16" t="inlineStr">
        <is>
          <t>极致集中·科技成长轮动型</t>
        </is>
      </c>
      <c r="E146" s="37" t="n">
        <v>320007</v>
      </c>
      <c r="F146" s="38" t="n">
        <v>45839</v>
      </c>
      <c r="G146" s="37" t="n">
        <v>2025</v>
      </c>
      <c r="H146" s="37" t="n">
        <v>2</v>
      </c>
      <c r="I146" s="19" t="n">
        <v>0.0070999160982514</v>
      </c>
      <c r="J146" s="19" t="n">
        <v>0.0045999160982514</v>
      </c>
      <c r="K146" s="19" t="n">
        <v>0.020947304307366</v>
      </c>
      <c r="L146" s="19" t="n">
        <v>0.0225937171268114</v>
      </c>
      <c r="M146" s="37" t="n"/>
      <c r="N146" s="37" t="n"/>
      <c r="O146" s="19" t="n">
        <v>0.3972602739726027</v>
      </c>
      <c r="P146" s="19" t="n">
        <v>0.5151515151515151</v>
      </c>
      <c r="Q146" s="37" t="n">
        <v>77.29767761515591</v>
      </c>
      <c r="R146" s="37" t="n"/>
      <c r="S146" s="19" t="n">
        <v>0.5444639999999999</v>
      </c>
      <c r="T146" s="19" t="n">
        <v>0.052617</v>
      </c>
      <c r="U146" s="19" t="n">
        <v>0.0138829560017086</v>
      </c>
      <c r="V146" s="19" t="n">
        <v>0.9524284191249532</v>
      </c>
      <c r="W146" s="19" t="n">
        <v>-0.1178912411789124</v>
      </c>
      <c r="X146" s="37" t="n">
        <v>43.72407929258951</v>
      </c>
      <c r="Y146" s="19" t="n">
        <v>0.0176959013987515</v>
      </c>
      <c r="Z146" s="19" t="n">
        <v>0.8377798021860817</v>
      </c>
      <c r="AA146" s="19" t="n">
        <v>0.6561955731785254</v>
      </c>
      <c r="AB146" s="19" t="n">
        <v>-0.0454363593896062</v>
      </c>
      <c r="AC146" s="19" t="n">
        <v>-0.0155632148985866</v>
      </c>
      <c r="AD146" s="19" t="n">
        <v>-0.0066636225415406</v>
      </c>
      <c r="AE146" s="19" t="n">
        <v>0.08826617299862249</v>
      </c>
      <c r="AF146" s="19" t="n">
        <v>0.0867656490831504</v>
      </c>
      <c r="AG146" s="37" t="n">
        <v>184.47</v>
      </c>
      <c r="AH146" s="37" t="n">
        <v>5.217486848633488</v>
      </c>
      <c r="AI146" s="37" t="n">
        <v>864</v>
      </c>
      <c r="AJ146" s="37" t="n">
        <v>2.791658094847202</v>
      </c>
    </row>
    <row r="147">
      <c r="A147" s="37" t="n">
        <v>320007</v>
      </c>
      <c r="B147" s="16" t="inlineStr">
        <is>
          <t>蔡嵩松</t>
        </is>
      </c>
      <c r="C147" s="16" t="inlineStr">
        <is>
          <t>诺安成长混合</t>
        </is>
      </c>
      <c r="D147" s="16" t="inlineStr">
        <is>
          <t>极致集中·科技成长轮动型</t>
        </is>
      </c>
      <c r="E147" s="37" t="n">
        <v>320007</v>
      </c>
      <c r="F147" s="38" t="n">
        <v>45931</v>
      </c>
      <c r="G147" s="37" t="n">
        <v>2025</v>
      </c>
      <c r="H147" s="37" t="n">
        <v>3</v>
      </c>
      <c r="I147" s="19" t="n">
        <v>0.3692837989736446</v>
      </c>
      <c r="J147" s="19" t="n">
        <v>0.3667837989736446</v>
      </c>
      <c r="K147" s="19" t="n">
        <v>0.020947304307366</v>
      </c>
      <c r="L147" s="19" t="n">
        <v>0.0226863130505974</v>
      </c>
      <c r="M147" s="37" t="n"/>
      <c r="N147" s="37" t="n"/>
      <c r="O147" s="37" t="n"/>
      <c r="P147" s="37" t="n"/>
      <c r="Q147" s="37" t="n">
        <v>77.29767761515591</v>
      </c>
      <c r="R147" s="37" t="n"/>
      <c r="S147" s="19" t="n">
        <v>0.6851159999999999</v>
      </c>
      <c r="T147" s="19" t="n">
        <v>0.083311</v>
      </c>
      <c r="U147" s="19" t="n">
        <v>0.0138829560017086</v>
      </c>
      <c r="V147" s="19" t="n">
        <v>0.3675808431177612</v>
      </c>
      <c r="W147" s="37" t="n"/>
      <c r="X147" s="37" t="n">
        <v>0</v>
      </c>
      <c r="Y147" s="19" t="n">
        <v>0.08428532495760779</v>
      </c>
      <c r="Z147" s="19" t="n">
        <v>0.9666612709579836</v>
      </c>
      <c r="AA147" s="19" t="n">
        <v>0.6561955731785254</v>
      </c>
      <c r="AB147" s="19" t="n">
        <v>-0.0048110839663666</v>
      </c>
      <c r="AC147" s="19" t="n">
        <v>0.1915013235750817</v>
      </c>
      <c r="AD147" s="19" t="n">
        <v>0.0983994629046851</v>
      </c>
      <c r="AE147" s="19" t="n">
        <v>0.1464461692175407</v>
      </c>
      <c r="AF147" s="19" t="n">
        <v>0.1398286130047538</v>
      </c>
      <c r="AG147" s="37" t="n">
        <v>184.68</v>
      </c>
      <c r="AH147" s="37" t="n">
        <v>5.218624597638788</v>
      </c>
      <c r="AI147" s="37" t="n">
        <v>956</v>
      </c>
      <c r="AJ147" s="37" t="n">
        <v>2.806984065325429</v>
      </c>
    </row>
    <row r="148">
      <c r="A148" s="37" t="n">
        <v>320007</v>
      </c>
      <c r="B148" s="16" t="inlineStr">
        <is>
          <t>蔡嵩松</t>
        </is>
      </c>
      <c r="C148" s="16" t="inlineStr">
        <is>
          <t>诺安成长混合</t>
        </is>
      </c>
      <c r="D148" s="16" t="inlineStr">
        <is>
          <t>极致集中·科技成长轮动型</t>
        </is>
      </c>
      <c r="E148" s="37" t="n">
        <v>320007</v>
      </c>
      <c r="F148" s="38" t="n">
        <v>46023</v>
      </c>
      <c r="G148" s="37" t="n">
        <v>2025</v>
      </c>
      <c r="H148" s="37" t="n">
        <v>4</v>
      </c>
      <c r="I148" s="19" t="n">
        <v>-0.0349321400360224</v>
      </c>
      <c r="J148" s="19" t="n">
        <v>-0.0374321400360224</v>
      </c>
      <c r="K148" s="19" t="n">
        <v>0.020947304307366</v>
      </c>
      <c r="L148" s="19" t="n">
        <v>0.0355247579122374</v>
      </c>
      <c r="M148" s="37" t="n"/>
      <c r="N148" s="37" t="n"/>
      <c r="O148" s="19" t="n">
        <v>0.2</v>
      </c>
      <c r="P148" s="19" t="n">
        <v>0.5588235294117647</v>
      </c>
      <c r="Q148" s="37" t="n"/>
      <c r="R148" s="37" t="n"/>
      <c r="S148" s="19" t="n">
        <v>0.42575</v>
      </c>
      <c r="T148" s="19" t="n">
        <v>0.055107</v>
      </c>
      <c r="U148" s="19" t="n">
        <v>0.042457862171965</v>
      </c>
      <c r="V148" s="19" t="n">
        <v>0.09651631592777341</v>
      </c>
      <c r="W148" s="19" t="n">
        <v>-0.3588235294117647</v>
      </c>
      <c r="X148" s="37" t="n"/>
      <c r="Y148" s="19" t="n">
        <v>0.08831037111309289</v>
      </c>
      <c r="Z148" s="19" t="n">
        <v>0.8532422493731326</v>
      </c>
      <c r="AA148" s="19" t="n">
        <v>0.6561955731785254</v>
      </c>
      <c r="AB148" s="19" t="n">
        <v>0.1622562570596549</v>
      </c>
      <c r="AC148" s="37" t="n">
        <v>1.219492034902538</v>
      </c>
      <c r="AD148" s="19" t="n">
        <v>0.4397161802994123</v>
      </c>
      <c r="AE148" s="19" t="n">
        <v>0.1481244315471393</v>
      </c>
      <c r="AF148" s="19" t="n">
        <v>0.1104446742587963</v>
      </c>
      <c r="AG148" s="37" t="n">
        <v>141.02</v>
      </c>
      <c r="AH148" s="37" t="n">
        <v>4.948901724290895</v>
      </c>
      <c r="AI148" s="37" t="n">
        <v>1048</v>
      </c>
      <c r="AJ148" s="37" t="n">
        <v>2.822078691547913</v>
      </c>
    </row>
    <row r="149">
      <c r="A149" s="37" t="n">
        <v>320007</v>
      </c>
      <c r="B149" s="16" t="inlineStr">
        <is>
          <t>蔡嵩松</t>
        </is>
      </c>
      <c r="C149" s="16" t="inlineStr">
        <is>
          <t>诺安成长混合</t>
        </is>
      </c>
      <c r="D149" s="16" t="inlineStr">
        <is>
          <t>极致集中·科技成长轮动型</t>
        </is>
      </c>
      <c r="E149" s="37" t="n">
        <v>320007</v>
      </c>
      <c r="F149" s="38" t="n">
        <v>46113</v>
      </c>
      <c r="G149" s="37" t="n">
        <v>2026</v>
      </c>
      <c r="H149" s="37" t="n">
        <v>1</v>
      </c>
      <c r="I149" s="19" t="n">
        <v>-0.0688584644299783</v>
      </c>
      <c r="J149" s="19" t="n">
        <v>-0.0713584644299783</v>
      </c>
      <c r="K149" s="19" t="n">
        <v>0.020947304307366</v>
      </c>
      <c r="L149" s="19" t="n">
        <v>0.0280701086580738</v>
      </c>
      <c r="M149" s="37" t="n"/>
      <c r="N149" s="37" t="n"/>
      <c r="O149" s="37" t="n"/>
      <c r="P149" s="37" t="n"/>
      <c r="Q149" s="37" t="n"/>
      <c r="R149" s="37" t="n"/>
      <c r="S149" s="19" t="n">
        <v>0.591342</v>
      </c>
      <c r="T149" s="19" t="n">
        <v>0.104987</v>
      </c>
      <c r="U149" s="19" t="n">
        <v>0.042457862171965</v>
      </c>
      <c r="V149" s="19" t="n">
        <v>0.1272445768504369</v>
      </c>
      <c r="W149" s="37" t="n"/>
      <c r="X149" s="37" t="n"/>
      <c r="Y149" s="19" t="n">
        <v>0.1067833187343785</v>
      </c>
      <c r="Z149" s="19" t="n">
        <v>0.7824866882464919</v>
      </c>
      <c r="AA149" s="19" t="n">
        <v>0.6561955731785254</v>
      </c>
      <c r="AB149" s="19" t="n">
        <v>0.1510787812501696</v>
      </c>
      <c r="AC149" s="37" t="n">
        <v>1.295674077309966</v>
      </c>
      <c r="AD149" s="19" t="n">
        <v>0.4186703591252143</v>
      </c>
      <c r="AE149" s="19" t="n">
        <v>0.1419603602560649</v>
      </c>
      <c r="AF149" s="19" t="n">
        <v>0.2041252965143865</v>
      </c>
      <c r="AG149" s="37" t="n">
        <v>108.11</v>
      </c>
      <c r="AH149" s="37" t="n">
        <v>4.68314922730468</v>
      </c>
      <c r="AI149" s="37" t="n">
        <v>1138</v>
      </c>
      <c r="AJ149" s="37" t="n">
        <v>2.836627929762737</v>
      </c>
    </row>
    <row r="150">
      <c r="A150" s="37" t="n">
        <v>320007</v>
      </c>
      <c r="B150" s="16" t="inlineStr">
        <is>
          <t>蔡嵩松</t>
        </is>
      </c>
      <c r="C150" s="16" t="inlineStr">
        <is>
          <t>诺安成长混合</t>
        </is>
      </c>
      <c r="D150" s="16" t="inlineStr">
        <is>
          <t>极致集中·科技成长轮动型</t>
        </is>
      </c>
      <c r="E150" s="37" t="n">
        <v>320007</v>
      </c>
      <c r="F150" s="38" t="n">
        <v>46204</v>
      </c>
      <c r="G150" s="37" t="n">
        <v>2026</v>
      </c>
      <c r="H150" s="37" t="n">
        <v>2</v>
      </c>
      <c r="I150" s="19" t="n">
        <v>0.7188557420735571</v>
      </c>
      <c r="J150" s="37" t="n"/>
      <c r="K150" s="19" t="n">
        <v>0.020947304307366</v>
      </c>
      <c r="L150" s="19" t="n">
        <v>0.1124935762431074</v>
      </c>
      <c r="M150" s="37" t="n"/>
      <c r="N150" s="37" t="n"/>
      <c r="O150" s="19" t="n">
        <v>0.8545454545454545</v>
      </c>
      <c r="P150" s="19" t="n">
        <v>0.9545454545454546</v>
      </c>
      <c r="Q150" s="37" t="n"/>
      <c r="R150" s="37" t="n"/>
      <c r="S150" s="19" t="n">
        <v>0.687393</v>
      </c>
      <c r="T150" s="19" t="n">
        <v>0.110285</v>
      </c>
      <c r="U150" s="37" t="n">
        <v>0</v>
      </c>
      <c r="V150" s="19" t="n">
        <v>0.2582952606693204</v>
      </c>
      <c r="W150" s="19" t="n">
        <v>-0.1</v>
      </c>
      <c r="X150" s="37" t="n"/>
      <c r="Y150" s="19" t="n">
        <v>0.2290799020469082</v>
      </c>
      <c r="Z150" s="19" t="n">
        <v>0.9598760351038904</v>
      </c>
      <c r="AA150" s="19" t="n">
        <v>0.6561955731785254</v>
      </c>
      <c r="AB150" s="19" t="n">
        <v>0.1803588341503032</v>
      </c>
      <c r="AC150" s="37" t="n">
        <v>2.677438114365744</v>
      </c>
      <c r="AD150" s="19" t="n">
        <v>0.4726903279794925</v>
      </c>
      <c r="AE150" s="19" t="n">
        <v>0.2633373263331101</v>
      </c>
      <c r="AF150" s="19" t="n">
        <v>0.0538092199091298</v>
      </c>
      <c r="AG150" s="37" t="n">
        <v>119.28</v>
      </c>
      <c r="AH150" s="37" t="n">
        <v>4.781473670456483</v>
      </c>
      <c r="AI150" s="37" t="n">
        <v>1229</v>
      </c>
      <c r="AJ150" s="37" t="n">
        <v>2.851126709994078</v>
      </c>
    </row>
    <row r="151">
      <c r="A151" s="37" t="n">
        <v>163406</v>
      </c>
      <c r="B151" s="16" t="inlineStr">
        <is>
          <t>谢治宇</t>
        </is>
      </c>
      <c r="C151" s="16" t="inlineStr">
        <is>
          <t>兴全合润混合A</t>
        </is>
      </c>
      <c r="D151" s="16" t="inlineStr">
        <is>
          <t>均衡配置·GARP性价比型</t>
        </is>
      </c>
      <c r="E151" s="37" t="n">
        <v>163406</v>
      </c>
      <c r="F151" s="38" t="n">
        <v>43922</v>
      </c>
      <c r="G151" s="37" t="n">
        <v>2020</v>
      </c>
      <c r="H151" s="37" t="n">
        <v>1</v>
      </c>
      <c r="I151" s="19" t="n">
        <v>0.003770824981635</v>
      </c>
      <c r="J151" s="19" t="n">
        <v>0.001270824981635</v>
      </c>
      <c r="K151" s="19" t="n">
        <v>0.008024389447008</v>
      </c>
      <c r="L151" s="19" t="n">
        <v>0.0125026189048317</v>
      </c>
      <c r="M151" s="37" t="n"/>
      <c r="N151" s="37" t="n"/>
      <c r="O151" s="37" t="n"/>
      <c r="P151" s="37" t="n"/>
      <c r="Q151" s="37" t="n">
        <v>76.4939911601639</v>
      </c>
      <c r="R151" s="37" t="n"/>
      <c r="S151" s="19" t="n">
        <v>0.123923</v>
      </c>
      <c r="T151" s="19" t="n">
        <v>0.08934599999999999</v>
      </c>
      <c r="U151" s="19" t="n">
        <v>0.3621671492798726</v>
      </c>
      <c r="V151" s="37" t="n"/>
      <c r="W151" s="37" t="n"/>
      <c r="X151" s="37" t="n"/>
      <c r="Y151" s="37" t="n"/>
      <c r="Z151" s="19" t="n">
        <v>0.8679110487497642</v>
      </c>
      <c r="AA151" s="19" t="n">
        <v>0.7010387505235576</v>
      </c>
      <c r="AB151" s="37" t="n"/>
      <c r="AC151" s="37" t="n"/>
      <c r="AD151" s="37" t="n"/>
      <c r="AE151" s="37" t="n"/>
      <c r="AF151" s="19" t="n">
        <v>0.0648606084839272</v>
      </c>
      <c r="AG151" s="37" t="n"/>
      <c r="AH151" s="37" t="n"/>
      <c r="AI151" s="37" t="n">
        <v>2619</v>
      </c>
      <c r="AJ151" s="37" t="n">
        <v>2.296874556939699</v>
      </c>
    </row>
    <row r="152">
      <c r="A152" s="37" t="n">
        <v>163406</v>
      </c>
      <c r="B152" s="16" t="inlineStr">
        <is>
          <t>谢治宇</t>
        </is>
      </c>
      <c r="C152" s="16" t="inlineStr">
        <is>
          <t>兴全合润混合A</t>
        </is>
      </c>
      <c r="D152" s="16" t="inlineStr">
        <is>
          <t>均衡配置·GARP性价比型</t>
        </is>
      </c>
      <c r="E152" s="37" t="n">
        <v>163406</v>
      </c>
      <c r="F152" s="38" t="n">
        <v>44013</v>
      </c>
      <c r="G152" s="37" t="n">
        <v>2020</v>
      </c>
      <c r="H152" s="37" t="n">
        <v>2</v>
      </c>
      <c r="I152" s="19" t="n">
        <v>0.2790138095971786</v>
      </c>
      <c r="J152" s="19" t="n">
        <v>0.2765138095971786</v>
      </c>
      <c r="K152" s="19" t="n">
        <v>0.008024389447008</v>
      </c>
      <c r="L152" s="19" t="n">
        <v>0.031470971652503</v>
      </c>
      <c r="M152" s="37" t="n"/>
      <c r="N152" s="37" t="n"/>
      <c r="O152" s="19" t="n">
        <v>0.4545454545454545</v>
      </c>
      <c r="P152" s="19" t="n">
        <v>0.5384615384615384</v>
      </c>
      <c r="Q152" s="37" t="n">
        <v>91.7920349616612</v>
      </c>
      <c r="R152" s="37" t="n"/>
      <c r="S152" s="19" t="n">
        <v>0.102307</v>
      </c>
      <c r="T152" s="19" t="n">
        <v>0.036356</v>
      </c>
      <c r="U152" s="19" t="n">
        <v>0.1438719996072397</v>
      </c>
      <c r="V152" s="37" t="n"/>
      <c r="W152" s="19" t="n">
        <v>-0.08391608391608391</v>
      </c>
      <c r="X152" s="37" t="n">
        <v>15.2980438014973</v>
      </c>
      <c r="Y152" s="37" t="n"/>
      <c r="Z152" s="19" t="n">
        <v>0.941764519392435</v>
      </c>
      <c r="AA152" s="19" t="n">
        <v>0.7010387505235576</v>
      </c>
      <c r="AB152" s="37" t="n"/>
      <c r="AC152" s="37" t="n"/>
      <c r="AD152" s="37" t="n"/>
      <c r="AE152" s="37" t="n"/>
      <c r="AF152" s="19" t="n">
        <v>0.0683277210789673</v>
      </c>
      <c r="AG152" s="37" t="n"/>
      <c r="AH152" s="37" t="n"/>
      <c r="AI152" s="37" t="n">
        <v>2710</v>
      </c>
      <c r="AJ152" s="37" t="n">
        <v>2.321620891091232</v>
      </c>
    </row>
    <row r="153">
      <c r="A153" s="37" t="n">
        <v>163406</v>
      </c>
      <c r="B153" s="16" t="inlineStr">
        <is>
          <t>谢治宇</t>
        </is>
      </c>
      <c r="C153" s="16" t="inlineStr">
        <is>
          <t>兴全合润混合A</t>
        </is>
      </c>
      <c r="D153" s="16" t="inlineStr">
        <is>
          <t>均衡配置·GARP性价比型</t>
        </is>
      </c>
      <c r="E153" s="37" t="n">
        <v>163406</v>
      </c>
      <c r="F153" s="38" t="n">
        <v>44105</v>
      </c>
      <c r="G153" s="37" t="n">
        <v>2020</v>
      </c>
      <c r="H153" s="37" t="n">
        <v>3</v>
      </c>
      <c r="I153" s="19" t="n">
        <v>0.1580423685786673</v>
      </c>
      <c r="J153" s="19" t="n">
        <v>0.1555423685786673</v>
      </c>
      <c r="K153" s="19" t="n">
        <v>0.008024389447008</v>
      </c>
      <c r="L153" s="19" t="n">
        <v>0.008045981848327</v>
      </c>
      <c r="M153" s="37" t="n"/>
      <c r="N153" s="37" t="n"/>
      <c r="O153" s="37" t="n"/>
      <c r="P153" s="37" t="n"/>
      <c r="Q153" s="37" t="n">
        <v>91.7920349616612</v>
      </c>
      <c r="R153" s="37" t="n"/>
      <c r="S153" s="19" t="n">
        <v>0.09116299999999999</v>
      </c>
      <c r="T153" s="19" t="n">
        <v>0.073225</v>
      </c>
      <c r="U153" s="19" t="n">
        <v>0.4171185864972849</v>
      </c>
      <c r="V153" s="37" t="n"/>
      <c r="W153" s="37" t="n"/>
      <c r="X153" s="37" t="n">
        <v>0</v>
      </c>
      <c r="Y153" s="37" t="n"/>
      <c r="Z153" s="19" t="n">
        <v>0.9360834875038808</v>
      </c>
      <c r="AA153" s="19" t="n">
        <v>0.7010387505235576</v>
      </c>
      <c r="AB153" s="37" t="n"/>
      <c r="AC153" s="37" t="n"/>
      <c r="AD153" s="37" t="n"/>
      <c r="AE153" s="19" t="n">
        <v>0.1505841375248711</v>
      </c>
      <c r="AF153" s="19" t="n">
        <v>0.1519029748556963</v>
      </c>
      <c r="AG153" s="37" t="n"/>
      <c r="AH153" s="37" t="n"/>
      <c r="AI153" s="37" t="n">
        <v>2802</v>
      </c>
      <c r="AJ153" s="37" t="n">
        <v>2.346031760937072</v>
      </c>
    </row>
    <row r="154">
      <c r="A154" s="37" t="n">
        <v>163406</v>
      </c>
      <c r="B154" s="16" t="inlineStr">
        <is>
          <t>谢治宇</t>
        </is>
      </c>
      <c r="C154" s="16" t="inlineStr">
        <is>
          <t>兴全合润混合A</t>
        </is>
      </c>
      <c r="D154" s="16" t="inlineStr">
        <is>
          <t>均衡配置·GARP性价比型</t>
        </is>
      </c>
      <c r="E154" s="37" t="n">
        <v>163406</v>
      </c>
      <c r="F154" s="38" t="n">
        <v>44197</v>
      </c>
      <c r="G154" s="37" t="n">
        <v>2020</v>
      </c>
      <c r="H154" s="37" t="n">
        <v>4</v>
      </c>
      <c r="I154" s="19" t="n">
        <v>0.1780694165751475</v>
      </c>
      <c r="J154" s="19" t="n">
        <v>0.1755694165751475</v>
      </c>
      <c r="K154" s="19" t="n">
        <v>0.008024389447008</v>
      </c>
      <c r="L154" s="19" t="n">
        <v>0.075100031722764</v>
      </c>
      <c r="M154" s="37" t="n">
        <v>1497.03</v>
      </c>
      <c r="N154" s="37" t="n">
        <v>922.75</v>
      </c>
      <c r="O154" s="19" t="n">
        <v>0.4054054054054054</v>
      </c>
      <c r="P154" s="19" t="n">
        <v>0.6</v>
      </c>
      <c r="Q154" s="37" t="n">
        <v>78.2078071787089</v>
      </c>
      <c r="R154" s="19" t="n">
        <v>0.918231977110418</v>
      </c>
      <c r="S154" s="19" t="n">
        <v>0.064346</v>
      </c>
      <c r="T154" s="19" t="n">
        <v>0.034855</v>
      </c>
      <c r="U154" s="19" t="n">
        <v>0.224340769669808</v>
      </c>
      <c r="V154" s="37" t="n"/>
      <c r="W154" s="19" t="n">
        <v>-0.1945945945945945</v>
      </c>
      <c r="X154" s="37" t="n">
        <v>-13.5842277829523</v>
      </c>
      <c r="Y154" s="37" t="n"/>
      <c r="Z154" s="19" t="n">
        <v>0.9253666577971296</v>
      </c>
      <c r="AA154" s="19" t="n">
        <v>0.7010387505235576</v>
      </c>
      <c r="AB154" s="37" t="n"/>
      <c r="AC154" s="37" t="n"/>
      <c r="AD154" s="37" t="n"/>
      <c r="AE154" s="19" t="n">
        <v>0.1244721234761604</v>
      </c>
      <c r="AF154" s="19" t="n">
        <v>0.05368441413286</v>
      </c>
      <c r="AG154" s="37" t="n">
        <v>205.98</v>
      </c>
      <c r="AH154" s="37" t="n">
        <v>5.327779076697656</v>
      </c>
      <c r="AI154" s="37" t="n">
        <v>2894</v>
      </c>
      <c r="AJ154" s="37" t="n">
        <v>2.369860912273585</v>
      </c>
    </row>
    <row r="155">
      <c r="A155" s="37" t="n">
        <v>163406</v>
      </c>
      <c r="B155" s="16" t="inlineStr">
        <is>
          <t>谢治宇</t>
        </is>
      </c>
      <c r="C155" s="16" t="inlineStr">
        <is>
          <t>兴全合润混合A</t>
        </is>
      </c>
      <c r="D155" s="16" t="inlineStr">
        <is>
          <t>均衡配置·GARP性价比型</t>
        </is>
      </c>
      <c r="E155" s="37" t="n">
        <v>163406</v>
      </c>
      <c r="F155" s="38" t="n">
        <v>44287</v>
      </c>
      <c r="G155" s="37" t="n">
        <v>2021</v>
      </c>
      <c r="H155" s="37" t="n">
        <v>1</v>
      </c>
      <c r="I155" s="19" t="n">
        <v>0.0339938752204411</v>
      </c>
      <c r="J155" s="19" t="n">
        <v>0.0314938752204411</v>
      </c>
      <c r="K155" s="19" t="n">
        <v>0.008024389447008</v>
      </c>
      <c r="L155" s="19" t="n">
        <v>0.0523122422978723</v>
      </c>
      <c r="M155" s="37" t="n"/>
      <c r="N155" s="37" t="n"/>
      <c r="O155" s="37" t="n"/>
      <c r="P155" s="37" t="n"/>
      <c r="Q155" s="37" t="n">
        <v>78.2078071787089</v>
      </c>
      <c r="R155" s="37" t="n"/>
      <c r="S155" s="19" t="n">
        <v>0.069075</v>
      </c>
      <c r="T155" s="19" t="n">
        <v>0.047829</v>
      </c>
      <c r="U155" s="19" t="n">
        <v>0.1839605740392076</v>
      </c>
      <c r="V155" s="37" t="n"/>
      <c r="W155" s="37" t="n"/>
      <c r="X155" s="37" t="n">
        <v>0</v>
      </c>
      <c r="Y155" s="37" t="n"/>
      <c r="Z155" s="19" t="n">
        <v>0.8483703852083998</v>
      </c>
      <c r="AA155" s="19" t="n">
        <v>0.7010387505235576</v>
      </c>
      <c r="AB155" s="19" t="n">
        <v>0.5192383959082393</v>
      </c>
      <c r="AC155" s="37" t="n"/>
      <c r="AD155" s="37" t="n">
        <v>1.338688326616297</v>
      </c>
      <c r="AE155" s="19" t="n">
        <v>0.1193835269429374</v>
      </c>
      <c r="AF155" s="19" t="n">
        <v>0.0577106849709455</v>
      </c>
      <c r="AG155" s="37" t="n">
        <v>255.615</v>
      </c>
      <c r="AH155" s="37" t="n">
        <v>5.543672406227466</v>
      </c>
      <c r="AI155" s="37" t="n">
        <v>2984</v>
      </c>
      <c r="AJ155" s="37" t="n">
        <v>2.392635175929838</v>
      </c>
    </row>
    <row r="156">
      <c r="A156" s="37" t="n">
        <v>163406</v>
      </c>
      <c r="B156" s="16" t="inlineStr">
        <is>
          <t>谢治宇</t>
        </is>
      </c>
      <c r="C156" s="16" t="inlineStr">
        <is>
          <t>兴全合润混合A</t>
        </is>
      </c>
      <c r="D156" s="16" t="inlineStr">
        <is>
          <t>均衡配置·GARP性价比型</t>
        </is>
      </c>
      <c r="E156" s="37" t="n">
        <v>163406</v>
      </c>
      <c r="F156" s="38" t="n">
        <v>44378</v>
      </c>
      <c r="G156" s="37" t="n">
        <v>2021</v>
      </c>
      <c r="H156" s="37" t="n">
        <v>2</v>
      </c>
      <c r="I156" s="19" t="n">
        <v>0.0408513201564573</v>
      </c>
      <c r="J156" s="19" t="n">
        <v>0.0383513201564573</v>
      </c>
      <c r="K156" s="19" t="n">
        <v>0.008024389447008</v>
      </c>
      <c r="L156" s="19" t="n">
        <v>0.0218439263548461</v>
      </c>
      <c r="M156" s="37" t="n">
        <v>371.6200000000001</v>
      </c>
      <c r="N156" s="37" t="n">
        <v>1384.42</v>
      </c>
      <c r="O156" s="19" t="n">
        <v>0.4791666666666667</v>
      </c>
      <c r="P156" s="19" t="n">
        <v>0.6590909090909091</v>
      </c>
      <c r="Q156" s="37" t="n">
        <v>65.316709199505</v>
      </c>
      <c r="R156" s="19" t="n">
        <v>0.7993845425494143</v>
      </c>
      <c r="S156" s="19" t="n">
        <v>0.070964</v>
      </c>
      <c r="T156" s="19" t="n">
        <v>0.038859</v>
      </c>
      <c r="U156" s="19" t="n">
        <v>0.0612506117958528</v>
      </c>
      <c r="V156" s="37" t="n"/>
      <c r="W156" s="19" t="n">
        <v>-0.1799242424242423</v>
      </c>
      <c r="X156" s="37" t="n">
        <v>-12.89109797920391</v>
      </c>
      <c r="Y156" s="37" t="n"/>
      <c r="Z156" s="19" t="n">
        <v>0.8619230909422769</v>
      </c>
      <c r="AA156" s="19" t="n">
        <v>0.7010387505235576</v>
      </c>
      <c r="AB156" s="19" t="n">
        <v>0.4336313242881315</v>
      </c>
      <c r="AC156" s="37" t="n"/>
      <c r="AD156" s="37" t="n">
        <v>1.140427882168014</v>
      </c>
      <c r="AE156" s="19" t="n">
        <v>0.1122593117680796</v>
      </c>
      <c r="AF156" s="19" t="n">
        <v>0.07168282344820991</v>
      </c>
      <c r="AG156" s="37" t="n">
        <v>320.54</v>
      </c>
      <c r="AH156" s="37" t="n">
        <v>5.770007073565429</v>
      </c>
      <c r="AI156" s="37" t="n">
        <v>3075</v>
      </c>
      <c r="AJ156" s="37" t="n">
        <v>2.415146949102055</v>
      </c>
    </row>
    <row r="157">
      <c r="A157" s="37" t="n">
        <v>163406</v>
      </c>
      <c r="B157" s="16" t="inlineStr">
        <is>
          <t>谢治宇</t>
        </is>
      </c>
      <c r="C157" s="16" t="inlineStr">
        <is>
          <t>兴全合润混合A</t>
        </is>
      </c>
      <c r="D157" s="16" t="inlineStr">
        <is>
          <t>均衡配置·GARP性价比型</t>
        </is>
      </c>
      <c r="E157" s="37" t="n">
        <v>163406</v>
      </c>
      <c r="F157" s="38" t="n">
        <v>44470</v>
      </c>
      <c r="G157" s="37" t="n">
        <v>2021</v>
      </c>
      <c r="H157" s="37" t="n">
        <v>3</v>
      </c>
      <c r="I157" s="19" t="n">
        <v>-0.0972025946886366</v>
      </c>
      <c r="J157" s="19" t="n">
        <v>-0.0997025946886366</v>
      </c>
      <c r="K157" s="19" t="n">
        <v>0.008024389447008</v>
      </c>
      <c r="L157" s="19" t="n">
        <v>0.0380990929018211</v>
      </c>
      <c r="M157" s="37" t="n"/>
      <c r="N157" s="37" t="n"/>
      <c r="O157" s="37" t="n"/>
      <c r="P157" s="37" t="n"/>
      <c r="Q157" s="37" t="n">
        <v>65.316709199505</v>
      </c>
      <c r="R157" s="37" t="n"/>
      <c r="S157" s="19" t="n">
        <v>0.088669</v>
      </c>
      <c r="T157" s="19" t="n">
        <v>0.050656</v>
      </c>
      <c r="U157" s="19" t="n">
        <v>0.206559325491812</v>
      </c>
      <c r="V157" s="37" t="n"/>
      <c r="W157" s="37" t="n"/>
      <c r="X157" s="37" t="n">
        <v>0</v>
      </c>
      <c r="Y157" s="19" t="n">
        <v>0.0533836707575205</v>
      </c>
      <c r="Z157" s="19" t="n">
        <v>0.7789000605829433</v>
      </c>
      <c r="AA157" s="19" t="n">
        <v>0.7010387505235576</v>
      </c>
      <c r="AB157" s="19" t="n">
        <v>0.383508922189655</v>
      </c>
      <c r="AC157" s="37" t="n"/>
      <c r="AD157" s="37" t="n">
        <v>1.058010704528379</v>
      </c>
      <c r="AE157" s="19" t="n">
        <v>0.1293297116156602</v>
      </c>
      <c r="AF157" s="19" t="n">
        <v>0.048184372405022</v>
      </c>
      <c r="AG157" s="37" t="n">
        <v>287.56</v>
      </c>
      <c r="AH157" s="37" t="n">
        <v>5.661431534115671</v>
      </c>
      <c r="AI157" s="37" t="n">
        <v>3167</v>
      </c>
      <c r="AJ157" s="37" t="n">
        <v>2.437402342737317</v>
      </c>
    </row>
    <row r="158">
      <c r="A158" s="37" t="n">
        <v>163406</v>
      </c>
      <c r="B158" s="16" t="inlineStr">
        <is>
          <t>谢治宇</t>
        </is>
      </c>
      <c r="C158" s="16" t="inlineStr">
        <is>
          <t>兴全合润混合A</t>
        </is>
      </c>
      <c r="D158" s="16" t="inlineStr">
        <is>
          <t>均衡配置·GARP性价比型</t>
        </is>
      </c>
      <c r="E158" s="37" t="n">
        <v>163406</v>
      </c>
      <c r="F158" s="38" t="n">
        <v>44562</v>
      </c>
      <c r="G158" s="37" t="n">
        <v>2021</v>
      </c>
      <c r="H158" s="37" t="n">
        <v>4</v>
      </c>
      <c r="I158" s="19" t="n">
        <v>0.0940776472228597</v>
      </c>
      <c r="J158" s="19" t="n">
        <v>0.0915776472228597</v>
      </c>
      <c r="K158" s="19" t="n">
        <v>0.008024389447008</v>
      </c>
      <c r="L158" s="19" t="n">
        <v>0.0339774982897181</v>
      </c>
      <c r="M158" s="37" t="n">
        <v>978.14</v>
      </c>
      <c r="N158" s="37" t="n">
        <v>465.9500000000001</v>
      </c>
      <c r="O158" s="19" t="n">
        <v>0.6785714285714286</v>
      </c>
      <c r="P158" s="19" t="n">
        <v>0.6</v>
      </c>
      <c r="Q158" s="37" t="n">
        <v>44.9611519368538</v>
      </c>
      <c r="R158" s="19" t="n">
        <v>0.8514028995418982</v>
      </c>
      <c r="S158" s="19" t="n">
        <v>0.075433</v>
      </c>
      <c r="T158" s="19" t="n">
        <v>0.027843</v>
      </c>
      <c r="U158" s="19" t="n">
        <v>0.2874393726512385</v>
      </c>
      <c r="V158" s="37" t="n"/>
      <c r="W158" s="19" t="n">
        <v>0.0785714285714286</v>
      </c>
      <c r="X158" s="37" t="n">
        <v>0</v>
      </c>
      <c r="Y158" s="19" t="n">
        <v>0.0469711255705998</v>
      </c>
      <c r="Z158" s="19" t="n">
        <v>0.8217502805702588</v>
      </c>
      <c r="AA158" s="19" t="n">
        <v>0.7010387505235576</v>
      </c>
      <c r="AB158" s="19" t="n">
        <v>0.2472014237761517</v>
      </c>
      <c r="AC158" s="37" t="n"/>
      <c r="AD158" s="19" t="n">
        <v>0.6540096271028845</v>
      </c>
      <c r="AE158" s="19" t="n">
        <v>0.1198146087636975</v>
      </c>
      <c r="AF158" s="19" t="n">
        <v>0.0322173723147365</v>
      </c>
      <c r="AG158" s="37" t="n">
        <v>334.06</v>
      </c>
      <c r="AH158" s="37" t="n">
        <v>5.811320617561802</v>
      </c>
      <c r="AI158" s="37" t="n">
        <v>3259</v>
      </c>
      <c r="AJ158" s="37" t="n">
        <v>2.459173197858545</v>
      </c>
    </row>
    <row r="159">
      <c r="A159" s="37" t="n">
        <v>163406</v>
      </c>
      <c r="B159" s="16" t="inlineStr">
        <is>
          <t>谢治宇</t>
        </is>
      </c>
      <c r="C159" s="16" t="inlineStr">
        <is>
          <t>兴全合润混合A</t>
        </is>
      </c>
      <c r="D159" s="16" t="inlineStr">
        <is>
          <t>均衡配置·GARP性价比型</t>
        </is>
      </c>
      <c r="E159" s="37" t="n">
        <v>163406</v>
      </c>
      <c r="F159" s="38" t="n">
        <v>44652</v>
      </c>
      <c r="G159" s="37" t="n">
        <v>2022</v>
      </c>
      <c r="H159" s="37" t="n">
        <v>1</v>
      </c>
      <c r="I159" s="19" t="n">
        <v>-0.2187634321711553</v>
      </c>
      <c r="J159" s="19" t="n">
        <v>-0.2212634321711553</v>
      </c>
      <c r="K159" s="19" t="n">
        <v>0.008024389447008</v>
      </c>
      <c r="L159" s="19" t="n">
        <v>0.0198677939504331</v>
      </c>
      <c r="M159" s="37" t="n"/>
      <c r="N159" s="37" t="n"/>
      <c r="O159" s="37" t="n"/>
      <c r="P159" s="37" t="n"/>
      <c r="Q159" s="37" t="n">
        <v>44.9611519368538</v>
      </c>
      <c r="R159" s="37" t="n"/>
      <c r="S159" s="19" t="n">
        <v>0.091956</v>
      </c>
      <c r="T159" s="19" t="n">
        <v>0.041794</v>
      </c>
      <c r="U159" s="19" t="n">
        <v>0.0741362850287887</v>
      </c>
      <c r="V159" s="37" t="n"/>
      <c r="W159" s="37" t="n"/>
      <c r="X159" s="37" t="n">
        <v>0</v>
      </c>
      <c r="Y159" s="19" t="n">
        <v>0.0247065252250359</v>
      </c>
      <c r="Z159" s="19" t="n">
        <v>0.6467004836978937</v>
      </c>
      <c r="AA159" s="19" t="n">
        <v>0.7010387505235576</v>
      </c>
      <c r="AB159" s="19" t="n">
        <v>0.2597252551453879</v>
      </c>
      <c r="AC159" s="37" t="n"/>
      <c r="AD159" s="19" t="n">
        <v>0.7156107284905431</v>
      </c>
      <c r="AE159" s="19" t="n">
        <v>0.1585265552013421</v>
      </c>
      <c r="AF159" s="19" t="n">
        <v>0.0698177531375837</v>
      </c>
      <c r="AG159" s="37" t="n">
        <v>271.16</v>
      </c>
      <c r="AH159" s="37" t="n">
        <v>5.602709052562765</v>
      </c>
      <c r="AI159" s="37" t="n">
        <v>3349</v>
      </c>
      <c r="AJ159" s="37" t="n">
        <v>2.480021763980089</v>
      </c>
    </row>
    <row r="160">
      <c r="A160" s="37" t="n">
        <v>163406</v>
      </c>
      <c r="B160" s="16" t="inlineStr">
        <is>
          <t>谢治宇</t>
        </is>
      </c>
      <c r="C160" s="16" t="inlineStr">
        <is>
          <t>兴全合润混合A</t>
        </is>
      </c>
      <c r="D160" s="16" t="inlineStr">
        <is>
          <t>均衡配置·GARP性价比型</t>
        </is>
      </c>
      <c r="E160" s="37" t="n">
        <v>163406</v>
      </c>
      <c r="F160" s="38" t="n">
        <v>44743</v>
      </c>
      <c r="G160" s="37" t="n">
        <v>2022</v>
      </c>
      <c r="H160" s="37" t="n">
        <v>2</v>
      </c>
      <c r="I160" s="19" t="n">
        <v>0.07014749086221719</v>
      </c>
      <c r="J160" s="19" t="n">
        <v>0.0676474908622172</v>
      </c>
      <c r="K160" s="19" t="n">
        <v>0.008024389447008</v>
      </c>
      <c r="L160" s="19" t="n">
        <v>0.0184957445262155</v>
      </c>
      <c r="M160" s="37" t="n">
        <v>575.7699999999999</v>
      </c>
      <c r="N160" s="37" t="n">
        <v>1063.14</v>
      </c>
      <c r="O160" s="19" t="n">
        <v>0.5555555555555556</v>
      </c>
      <c r="P160" s="19" t="n">
        <v>0.6435643564356436</v>
      </c>
      <c r="Q160" s="37" t="n">
        <v>51.2804085199412</v>
      </c>
      <c r="R160" s="19" t="n">
        <v>0.9523286556843604</v>
      </c>
      <c r="S160" s="19" t="n">
        <v>0.07066600000000001</v>
      </c>
      <c r="T160" s="19" t="n">
        <v>0.03364</v>
      </c>
      <c r="U160" s="19" t="n">
        <v>0.120220063275191</v>
      </c>
      <c r="V160" s="37" t="n">
        <v>1.248659734879908</v>
      </c>
      <c r="W160" s="19" t="n">
        <v>-0.088008800880088</v>
      </c>
      <c r="X160" s="37" t="n">
        <v>0</v>
      </c>
      <c r="Y160" s="19" t="n">
        <v>-0.0056780132596786</v>
      </c>
      <c r="Z160" s="19" t="n">
        <v>0.7251680675370598</v>
      </c>
      <c r="AA160" s="19" t="n">
        <v>0.7010387505235576</v>
      </c>
      <c r="AB160" s="19" t="n">
        <v>0.08296789495462401</v>
      </c>
      <c r="AC160" s="37" t="n"/>
      <c r="AD160" s="19" t="n">
        <v>0.3531041014196586</v>
      </c>
      <c r="AE160" s="19" t="n">
        <v>0.1320140379665788</v>
      </c>
      <c r="AF160" s="19" t="n">
        <v>0.0503070375378807</v>
      </c>
      <c r="AG160" s="37" t="n">
        <v>298.14</v>
      </c>
      <c r="AH160" s="37" t="n">
        <v>5.697563174842284</v>
      </c>
      <c r="AI160" s="37" t="n">
        <v>3440</v>
      </c>
      <c r="AJ160" s="37" t="n">
        <v>2.500669122540217</v>
      </c>
    </row>
    <row r="161">
      <c r="A161" s="37" t="n">
        <v>163406</v>
      </c>
      <c r="B161" s="16" t="inlineStr">
        <is>
          <t>谢治宇</t>
        </is>
      </c>
      <c r="C161" s="16" t="inlineStr">
        <is>
          <t>兴全合润混合A</t>
        </is>
      </c>
      <c r="D161" s="16" t="inlineStr">
        <is>
          <t>均衡配置·GARP性价比型</t>
        </is>
      </c>
      <c r="E161" s="37" t="n">
        <v>163406</v>
      </c>
      <c r="F161" s="38" t="n">
        <v>44835</v>
      </c>
      <c r="G161" s="37" t="n">
        <v>2022</v>
      </c>
      <c r="H161" s="37" t="n">
        <v>3</v>
      </c>
      <c r="I161" s="19" t="n">
        <v>-0.1602253874366364</v>
      </c>
      <c r="J161" s="19" t="n">
        <v>-0.1627253874366364</v>
      </c>
      <c r="K161" s="19" t="n">
        <v>0.008024389447008</v>
      </c>
      <c r="L161" s="19" t="n">
        <v>0.013947237638779</v>
      </c>
      <c r="M161" s="37" t="n"/>
      <c r="N161" s="37" t="n"/>
      <c r="O161" s="37" t="n"/>
      <c r="P161" s="37" t="n"/>
      <c r="Q161" s="37" t="n">
        <v>51.2804085199412</v>
      </c>
      <c r="R161" s="37" t="n"/>
      <c r="S161" s="19" t="n">
        <v>0.091682</v>
      </c>
      <c r="T161" s="19" t="n">
        <v>0.038824</v>
      </c>
      <c r="U161" s="19" t="n">
        <v>0.3266433498328021</v>
      </c>
      <c r="V161" s="19" t="n">
        <v>0.06375873890762079</v>
      </c>
      <c r="W161" s="37" t="n"/>
      <c r="X161" s="37" t="n">
        <v>0</v>
      </c>
      <c r="Y161" s="19" t="n">
        <v>0.0023237925528013</v>
      </c>
      <c r="Z161" s="19" t="n">
        <v>0.6064019095985778</v>
      </c>
      <c r="AA161" s="19" t="n">
        <v>0.7010387505235576</v>
      </c>
      <c r="AB161" s="19" t="n">
        <v>0.0155266448446342</v>
      </c>
      <c r="AC161" s="37" t="n"/>
      <c r="AD161" s="19" t="n">
        <v>0.2263259409285824</v>
      </c>
      <c r="AE161" s="19" t="n">
        <v>0.1366160381976907</v>
      </c>
      <c r="AF161" s="19" t="n">
        <v>0.0412204362830752</v>
      </c>
      <c r="AG161" s="37" t="n">
        <v>252.62</v>
      </c>
      <c r="AH161" s="37" t="n">
        <v>5.531886383345829</v>
      </c>
      <c r="AI161" s="37" t="n">
        <v>3532</v>
      </c>
      <c r="AJ161" s="37" t="n">
        <v>2.521118823830094</v>
      </c>
    </row>
    <row r="162">
      <c r="A162" s="37" t="n">
        <v>163406</v>
      </c>
      <c r="B162" s="16" t="inlineStr">
        <is>
          <t>谢治宇</t>
        </is>
      </c>
      <c r="C162" s="16" t="inlineStr">
        <is>
          <t>兴全合润混合A</t>
        </is>
      </c>
      <c r="D162" s="16" t="inlineStr">
        <is>
          <t>均衡配置·GARP性价比型</t>
        </is>
      </c>
      <c r="E162" s="37" t="n">
        <v>163406</v>
      </c>
      <c r="F162" s="38" t="n">
        <v>44927</v>
      </c>
      <c r="G162" s="37" t="n">
        <v>2022</v>
      </c>
      <c r="H162" s="37" t="n">
        <v>4</v>
      </c>
      <c r="I162" s="19" t="n">
        <v>0.0404926985040292</v>
      </c>
      <c r="J162" s="19" t="n">
        <v>0.0379926985040292</v>
      </c>
      <c r="K162" s="19" t="n">
        <v>0.008024389447008</v>
      </c>
      <c r="L162" s="19" t="n">
        <v>0.0339957053944221</v>
      </c>
      <c r="M162" s="37" t="n">
        <v>1452</v>
      </c>
      <c r="N162" s="37" t="n">
        <v>431.89</v>
      </c>
      <c r="O162" s="19" t="n">
        <v>0.5714285714285714</v>
      </c>
      <c r="P162" s="19" t="n">
        <v>0.5230769230769231</v>
      </c>
      <c r="Q162" s="37" t="n">
        <v>64.8291075566701</v>
      </c>
      <c r="R162" s="19" t="n">
        <v>0.8359135462286295</v>
      </c>
      <c r="S162" s="19" t="n">
        <v>0.0832</v>
      </c>
      <c r="T162" s="19" t="n">
        <v>0.027083</v>
      </c>
      <c r="U162" s="19" t="n">
        <v>0.1543504373975101</v>
      </c>
      <c r="V162" s="19" t="n">
        <v>0.3278877462994485</v>
      </c>
      <c r="W162" s="19" t="n">
        <v>0.0483516483516482</v>
      </c>
      <c r="X162" s="37" t="n">
        <v>0</v>
      </c>
      <c r="Y162" s="19" t="n">
        <v>-0.0267987579720465</v>
      </c>
      <c r="Z162" s="19" t="n">
        <v>0.6059096104369769</v>
      </c>
      <c r="AA162" s="19" t="n">
        <v>0.7010387505235576</v>
      </c>
      <c r="AB162" s="19" t="n">
        <v>-0.1478518746563968</v>
      </c>
      <c r="AC162" s="19" t="n">
        <v>-0.1625394723741327</v>
      </c>
      <c r="AD162" s="19" t="n">
        <v>-0.0722751555032152</v>
      </c>
      <c r="AE162" s="19" t="n">
        <v>0.1172998465311318</v>
      </c>
      <c r="AF162" s="19" t="n">
        <v>0.0437613103968574</v>
      </c>
      <c r="AG162" s="37" t="n">
        <v>268.06</v>
      </c>
      <c r="AH162" s="37" t="n">
        <v>5.591210836050351</v>
      </c>
      <c r="AI162" s="37" t="n">
        <v>3624</v>
      </c>
      <c r="AJ162" s="37" t="n">
        <v>2.541158701609976</v>
      </c>
    </row>
    <row r="163">
      <c r="A163" s="37" t="n">
        <v>163406</v>
      </c>
      <c r="B163" s="16" t="inlineStr">
        <is>
          <t>谢治宇</t>
        </is>
      </c>
      <c r="C163" s="16" t="inlineStr">
        <is>
          <t>兴全合润混合A</t>
        </is>
      </c>
      <c r="D163" s="16" t="inlineStr">
        <is>
          <t>均衡配置·GARP性价比型</t>
        </is>
      </c>
      <c r="E163" s="37" t="n">
        <v>163406</v>
      </c>
      <c r="F163" s="38" t="n">
        <v>45017</v>
      </c>
      <c r="G163" s="37" t="n">
        <v>2023</v>
      </c>
      <c r="H163" s="37" t="n">
        <v>1</v>
      </c>
      <c r="I163" s="19" t="n">
        <v>0.0549094367641258</v>
      </c>
      <c r="J163" s="19" t="n">
        <v>0.0524094367641258</v>
      </c>
      <c r="K163" s="19" t="n">
        <v>0.008024389447008</v>
      </c>
      <c r="L163" s="19" t="n">
        <v>0.0234416600834132</v>
      </c>
      <c r="M163" s="37" t="n"/>
      <c r="N163" s="37" t="n"/>
      <c r="O163" s="37" t="n"/>
      <c r="P163" s="37" t="n"/>
      <c r="Q163" s="37" t="n">
        <v>64.8291075566701</v>
      </c>
      <c r="R163" s="37" t="n"/>
      <c r="S163" s="19" t="n">
        <v>0.095281</v>
      </c>
      <c r="T163" s="19" t="n">
        <v>0.036957</v>
      </c>
      <c r="U163" s="19" t="n">
        <v>0.1254725868519787</v>
      </c>
      <c r="V163" s="19" t="n">
        <v>0.06506736741018079</v>
      </c>
      <c r="W163" s="37" t="n"/>
      <c r="X163" s="37" t="n">
        <v>0</v>
      </c>
      <c r="Y163" s="19" t="n">
        <v>-0.0294541007551992</v>
      </c>
      <c r="Z163" s="19" t="n">
        <v>0.6651856657914391</v>
      </c>
      <c r="AA163" s="19" t="n">
        <v>0.7010387505235576</v>
      </c>
      <c r="AB163" s="19" t="n">
        <v>-0.1947011972032244</v>
      </c>
      <c r="AC163" s="19" t="n">
        <v>-0.4454133040102846</v>
      </c>
      <c r="AD163" s="19" t="n">
        <v>-0.2307702820353788</v>
      </c>
      <c r="AE163" s="19" t="n">
        <v>0.119017100911657</v>
      </c>
      <c r="AF163" s="19" t="n">
        <v>0.0553781520833041</v>
      </c>
      <c r="AG163" s="37" t="n">
        <v>281.3</v>
      </c>
      <c r="AH163" s="37" t="n">
        <v>5.639421715495812</v>
      </c>
      <c r="AI163" s="37" t="n">
        <v>87</v>
      </c>
      <c r="AJ163" s="37" t="n">
        <v>2.560381848011751</v>
      </c>
    </row>
    <row r="164">
      <c r="A164" s="37" t="n">
        <v>163406</v>
      </c>
      <c r="B164" s="16" t="inlineStr">
        <is>
          <t>谢治宇</t>
        </is>
      </c>
      <c r="C164" s="16" t="inlineStr">
        <is>
          <t>兴全合润混合A</t>
        </is>
      </c>
      <c r="D164" s="16" t="inlineStr">
        <is>
          <t>均衡配置·GARP性价比型</t>
        </is>
      </c>
      <c r="E164" s="37" t="n">
        <v>163406</v>
      </c>
      <c r="F164" s="38" t="n">
        <v>45108</v>
      </c>
      <c r="G164" s="37" t="n">
        <v>2023</v>
      </c>
      <c r="H164" s="37" t="n">
        <v>2</v>
      </c>
      <c r="I164" s="19" t="n">
        <v>-0.0374277808533283</v>
      </c>
      <c r="J164" s="19" t="n">
        <v>-0.0399277808533283</v>
      </c>
      <c r="K164" s="19" t="n">
        <v>0.008024389447008</v>
      </c>
      <c r="L164" s="19" t="n">
        <v>0.0262343117962384</v>
      </c>
      <c r="M164" s="37" t="n">
        <v>6298.91</v>
      </c>
      <c r="N164" s="37" t="n">
        <v>774.02</v>
      </c>
      <c r="O164" s="19" t="n">
        <v>0.4912280701754385</v>
      </c>
      <c r="P164" s="19" t="n">
        <v>0.4444444444444444</v>
      </c>
      <c r="Q164" s="37" t="n">
        <v>48.6097950626408</v>
      </c>
      <c r="R164" s="19" t="n">
        <v>0.8038617112320129</v>
      </c>
      <c r="S164" s="19" t="n">
        <v>0.09601700000000001</v>
      </c>
      <c r="T164" s="19" t="n">
        <v>0.027874</v>
      </c>
      <c r="U164" s="19" t="n">
        <v>0.1774249650998559</v>
      </c>
      <c r="V164" s="19" t="n">
        <v>0.0982766396114783</v>
      </c>
      <c r="W164" s="19" t="n">
        <v>0.0467836257309941</v>
      </c>
      <c r="X164" s="37" t="n">
        <v>-16.2193124940293</v>
      </c>
      <c r="Y164" s="19" t="n">
        <v>-0.0480013744650844</v>
      </c>
      <c r="Z164" s="19" t="n">
        <v>0.6682090421151979</v>
      </c>
      <c r="AA164" s="19" t="n">
        <v>0.7010387505235576</v>
      </c>
      <c r="AB164" s="19" t="n">
        <v>-0.1863131294766361</v>
      </c>
      <c r="AC164" s="19" t="n">
        <v>-0.4024084619291891</v>
      </c>
      <c r="AD164" s="19" t="n">
        <v>-0.2054911664126259</v>
      </c>
      <c r="AE164" s="19" t="n">
        <v>0.1163026656245094</v>
      </c>
      <c r="AF164" s="19" t="n">
        <v>0.0098821684051731</v>
      </c>
      <c r="AG164" s="37" t="n">
        <v>265.97</v>
      </c>
      <c r="AH164" s="37" t="n">
        <v>5.583383520466449</v>
      </c>
      <c r="AI164" s="37" t="n">
        <v>178</v>
      </c>
      <c r="AJ164" s="37" t="n">
        <v>2.579450000393331</v>
      </c>
    </row>
    <row r="165">
      <c r="A165" s="37" t="n">
        <v>163406</v>
      </c>
      <c r="B165" s="16" t="inlineStr">
        <is>
          <t>谢治宇</t>
        </is>
      </c>
      <c r="C165" s="16" t="inlineStr">
        <is>
          <t>兴全合润混合A</t>
        </is>
      </c>
      <c r="D165" s="16" t="inlineStr">
        <is>
          <t>均衡配置·GARP性价比型</t>
        </is>
      </c>
      <c r="E165" s="37" t="n">
        <v>163406</v>
      </c>
      <c r="F165" s="38" t="n">
        <v>45200</v>
      </c>
      <c r="G165" s="37" t="n">
        <v>2023</v>
      </c>
      <c r="H165" s="37" t="n">
        <v>3</v>
      </c>
      <c r="I165" s="19" t="n">
        <v>-0.0705023117452139</v>
      </c>
      <c r="J165" s="19" t="n">
        <v>-0.0730023117452139</v>
      </c>
      <c r="K165" s="19" t="n">
        <v>0.008024389447008</v>
      </c>
      <c r="L165" s="19" t="n">
        <v>0.0119778301145448</v>
      </c>
      <c r="M165" s="37" t="n"/>
      <c r="N165" s="37" t="n"/>
      <c r="O165" s="37" t="n"/>
      <c r="P165" s="37" t="n"/>
      <c r="Q165" s="37" t="n">
        <v>48.6097950626408</v>
      </c>
      <c r="R165" s="37" t="n"/>
      <c r="S165" s="19" t="n">
        <v>0.124124</v>
      </c>
      <c r="T165" s="19" t="n">
        <v>0.042248</v>
      </c>
      <c r="U165" s="19" t="n">
        <v>0.122595959811572</v>
      </c>
      <c r="V165" s="19" t="n">
        <v>0.2468180626932854</v>
      </c>
      <c r="W165" s="37" t="n"/>
      <c r="X165" s="37" t="n">
        <v>0</v>
      </c>
      <c r="Y165" s="19" t="n">
        <v>-0.0518998487403156</v>
      </c>
      <c r="Z165" s="19" t="n">
        <v>0.6379074477712923</v>
      </c>
      <c r="AA165" s="19" t="n">
        <v>0.7010387505235576</v>
      </c>
      <c r="AB165" s="19" t="n">
        <v>-0.221759496098382</v>
      </c>
      <c r="AC165" s="19" t="n">
        <v>-0.4369921975422322</v>
      </c>
      <c r="AD165" s="19" t="n">
        <v>-0.2943935512064185</v>
      </c>
      <c r="AE165" s="19" t="n">
        <v>0.1145453395798026</v>
      </c>
      <c r="AF165" s="19" t="n">
        <v>0.0675099756600422</v>
      </c>
      <c r="AG165" s="37" t="n">
        <v>244.24</v>
      </c>
      <c r="AH165" s="37" t="n">
        <v>5.498151348426623</v>
      </c>
      <c r="AI165" s="37" t="n">
        <v>270</v>
      </c>
      <c r="AJ165" s="37" t="n">
        <v>2.598365038007081</v>
      </c>
    </row>
    <row r="166">
      <c r="A166" s="37" t="n">
        <v>163406</v>
      </c>
      <c r="B166" s="16" t="inlineStr">
        <is>
          <t>谢治宇</t>
        </is>
      </c>
      <c r="C166" s="16" t="inlineStr">
        <is>
          <t>兴全合润混合A</t>
        </is>
      </c>
      <c r="D166" s="16" t="inlineStr">
        <is>
          <t>均衡配置·GARP性价比型</t>
        </is>
      </c>
      <c r="E166" s="37" t="n">
        <v>163406</v>
      </c>
      <c r="F166" s="38" t="n">
        <v>45292</v>
      </c>
      <c r="G166" s="37" t="n">
        <v>2023</v>
      </c>
      <c r="H166" s="37" t="n">
        <v>4</v>
      </c>
      <c r="I166" s="19" t="n">
        <v>-0.0391217109492896</v>
      </c>
      <c r="J166" s="19" t="n">
        <v>-0.0416217109492896</v>
      </c>
      <c r="K166" s="19" t="n">
        <v>0.008024389447008</v>
      </c>
      <c r="L166" s="19" t="n">
        <v>0.0112258153573232</v>
      </c>
      <c r="M166" s="37" t="n">
        <v>247.45</v>
      </c>
      <c r="N166" s="37" t="n">
        <v>7161.79</v>
      </c>
      <c r="O166" s="19" t="n">
        <v>0.6379310344827587</v>
      </c>
      <c r="P166" s="19" t="n">
        <v>0.7244897959183674</v>
      </c>
      <c r="Q166" s="37" t="n">
        <v>76.8774698756681</v>
      </c>
      <c r="R166" s="37" t="n">
        <v>1</v>
      </c>
      <c r="S166" s="19" t="n">
        <v>0.161577</v>
      </c>
      <c r="T166" s="19" t="n">
        <v>0.027822</v>
      </c>
      <c r="U166" s="19" t="n">
        <v>0.140327300314295</v>
      </c>
      <c r="V166" s="19" t="n">
        <v>0.1925910573333802</v>
      </c>
      <c r="W166" s="19" t="n">
        <v>-0.0865587614356087</v>
      </c>
      <c r="X166" s="37" t="n">
        <v>0</v>
      </c>
      <c r="Y166" s="19" t="n">
        <v>-0.0602129116706928</v>
      </c>
      <c r="Z166" s="19" t="n">
        <v>0.6439947510682278</v>
      </c>
      <c r="AA166" s="19" t="n">
        <v>0.7010387505235576</v>
      </c>
      <c r="AB166" s="19" t="n">
        <v>-0.2060742894390726</v>
      </c>
      <c r="AC166" s="19" t="n">
        <v>-0.3727743457886025</v>
      </c>
      <c r="AD166" s="19" t="n">
        <v>-0.26982563688548</v>
      </c>
      <c r="AE166" s="19" t="n">
        <v>0.1033242680701956</v>
      </c>
      <c r="AF166" s="19" t="n">
        <v>0.0780859610175869</v>
      </c>
      <c r="AG166" s="37" t="n">
        <v>230.76</v>
      </c>
      <c r="AH166" s="37" t="n">
        <v>5.441378209388689</v>
      </c>
      <c r="AI166" s="37" t="n">
        <v>362</v>
      </c>
      <c r="AJ166" s="37" t="n">
        <v>2.616928928656079</v>
      </c>
    </row>
    <row r="167">
      <c r="A167" s="37" t="n">
        <v>163406</v>
      </c>
      <c r="B167" s="16" t="inlineStr">
        <is>
          <t>谢治宇</t>
        </is>
      </c>
      <c r="C167" s="16" t="inlineStr">
        <is>
          <t>兴全合润混合A</t>
        </is>
      </c>
      <c r="D167" s="16" t="inlineStr">
        <is>
          <t>均衡配置·GARP性价比型</t>
        </is>
      </c>
      <c r="E167" s="37" t="n">
        <v>163406</v>
      </c>
      <c r="F167" s="38" t="n">
        <v>45383</v>
      </c>
      <c r="G167" s="37" t="n">
        <v>2024</v>
      </c>
      <c r="H167" s="37" t="n">
        <v>1</v>
      </c>
      <c r="I167" s="19" t="n">
        <v>-0.039381105788588</v>
      </c>
      <c r="J167" s="19" t="n">
        <v>-0.041881105788588</v>
      </c>
      <c r="K167" s="19" t="n">
        <v>0.008024389447008</v>
      </c>
      <c r="L167" s="19" t="n">
        <v>0.0333007996671308</v>
      </c>
      <c r="M167" s="37" t="n"/>
      <c r="N167" s="37" t="n"/>
      <c r="O167" s="37" t="n"/>
      <c r="P167" s="37" t="n"/>
      <c r="Q167" s="37" t="n">
        <v>76.8774698756681</v>
      </c>
      <c r="R167" s="37" t="n"/>
      <c r="S167" s="19" t="n">
        <v>0.158697</v>
      </c>
      <c r="T167" s="19" t="n">
        <v>0.050098</v>
      </c>
      <c r="U167" s="19" t="n">
        <v>0.1152513402084245</v>
      </c>
      <c r="V167" s="19" t="n">
        <v>0.144640450165926</v>
      </c>
      <c r="W167" s="37" t="n"/>
      <c r="X167" s="37" t="n">
        <v>0</v>
      </c>
      <c r="Y167" s="19" t="n">
        <v>-0.0352602887052804</v>
      </c>
      <c r="Z167" s="19" t="n">
        <v>0.6268842808088874</v>
      </c>
      <c r="AA167" s="19" t="n">
        <v>0.7010387505235576</v>
      </c>
      <c r="AB167" s="19" t="n">
        <v>-0.2614357127342784</v>
      </c>
      <c r="AC167" s="19" t="n">
        <v>-0.5889328131220631</v>
      </c>
      <c r="AD167" s="19" t="n">
        <v>-0.4602151924056135</v>
      </c>
      <c r="AE167" s="19" t="n">
        <v>0.07625122068355469</v>
      </c>
      <c r="AF167" s="19" t="n">
        <v>0.07114162331250461</v>
      </c>
      <c r="AG167" s="37" t="n">
        <v>217.02</v>
      </c>
      <c r="AH167" s="37" t="n">
        <v>5.379989515192062</v>
      </c>
      <c r="AI167" s="37" t="n">
        <v>4080</v>
      </c>
      <c r="AJ167" s="37" t="n">
        <v>2.63495814410312</v>
      </c>
    </row>
    <row r="168">
      <c r="A168" s="37" t="n">
        <v>163406</v>
      </c>
      <c r="B168" s="16" t="inlineStr">
        <is>
          <t>谢治宇</t>
        </is>
      </c>
      <c r="C168" s="16" t="inlineStr">
        <is>
          <t>兴全合润混合A</t>
        </is>
      </c>
      <c r="D168" s="16" t="inlineStr">
        <is>
          <t>均衡配置·GARP性价比型</t>
        </is>
      </c>
      <c r="E168" s="37" t="n">
        <v>163406</v>
      </c>
      <c r="F168" s="38" t="n">
        <v>45474</v>
      </c>
      <c r="G168" s="37" t="n">
        <v>2024</v>
      </c>
      <c r="H168" s="37" t="n">
        <v>2</v>
      </c>
      <c r="I168" s="19" t="n">
        <v>0.0009588899929433001</v>
      </c>
      <c r="J168" s="19" t="n">
        <v>-0.0015411100070566</v>
      </c>
      <c r="K168" s="19" t="n">
        <v>0.008024389447008</v>
      </c>
      <c r="L168" s="19" t="n">
        <v>0.074947956079137</v>
      </c>
      <c r="M168" s="37" t="n">
        <v>750.8000000000001</v>
      </c>
      <c r="N168" s="37" t="n">
        <v>38</v>
      </c>
      <c r="O168" s="19" t="n">
        <v>0.40625</v>
      </c>
      <c r="P168" s="19" t="n">
        <v>0.5263157894736842</v>
      </c>
      <c r="Q168" s="37" t="n">
        <v>79.3002593132361</v>
      </c>
      <c r="R168" s="19" t="n">
        <v>0.6531423366730148</v>
      </c>
      <c r="S168" s="19" t="n">
        <v>0.200954</v>
      </c>
      <c r="T168" s="19" t="n">
        <v>0.036661</v>
      </c>
      <c r="U168" s="19" t="n">
        <v>0.1404294175529708</v>
      </c>
      <c r="V168" s="19" t="n">
        <v>0.0415765459015743</v>
      </c>
      <c r="W168" s="19" t="n">
        <v>-0.1200657894736841</v>
      </c>
      <c r="X168" s="37" t="n">
        <v>0</v>
      </c>
      <c r="Y168" s="19" t="n">
        <v>-0.0244422732127921</v>
      </c>
      <c r="Z168" s="19" t="n">
        <v>0.6916956889968577</v>
      </c>
      <c r="AA168" s="19" t="n">
        <v>0.7010387505235576</v>
      </c>
      <c r="AB168" s="19" t="n">
        <v>-0.1352256017797827</v>
      </c>
      <c r="AC168" s="19" t="n">
        <v>-0.4774124994652906</v>
      </c>
      <c r="AD168" s="19" t="n">
        <v>-0.3300845541744046</v>
      </c>
      <c r="AE168" s="19" t="n">
        <v>0.06771776069745319</v>
      </c>
      <c r="AF168" s="19" t="n">
        <v>0.1076599731242082</v>
      </c>
      <c r="AG168" s="37" t="n">
        <v>212.85</v>
      </c>
      <c r="AH168" s="37" t="n">
        <v>5.360587692274161</v>
      </c>
      <c r="AI168" s="37" t="n">
        <v>4171</v>
      </c>
      <c r="AJ168" s="37" t="n">
        <v>2.652668055250625</v>
      </c>
    </row>
    <row r="169">
      <c r="A169" s="37" t="n">
        <v>163406</v>
      </c>
      <c r="B169" s="16" t="inlineStr">
        <is>
          <t>谢治宇</t>
        </is>
      </c>
      <c r="C169" s="16" t="inlineStr">
        <is>
          <t>兴全合润混合A</t>
        </is>
      </c>
      <c r="D169" s="16" t="inlineStr">
        <is>
          <t>均衡配置·GARP性价比型</t>
        </is>
      </c>
      <c r="E169" s="37" t="n">
        <v>163406</v>
      </c>
      <c r="F169" s="38" t="n">
        <v>45566</v>
      </c>
      <c r="G169" s="37" t="n">
        <v>2024</v>
      </c>
      <c r="H169" s="37" t="n">
        <v>3</v>
      </c>
      <c r="I169" s="19" t="n">
        <v>0.1336239956939067</v>
      </c>
      <c r="J169" s="19" t="n">
        <v>0.1311239956939067</v>
      </c>
      <c r="K169" s="19" t="n">
        <v>0.008024389447008</v>
      </c>
      <c r="L169" s="19" t="n">
        <v>0.0417509035706723</v>
      </c>
      <c r="M169" s="37" t="n"/>
      <c r="N169" s="37" t="n"/>
      <c r="O169" s="37" t="n"/>
      <c r="P169" s="37" t="n"/>
      <c r="Q169" s="37" t="n">
        <v>79.3002593132361</v>
      </c>
      <c r="R169" s="37" t="n"/>
      <c r="S169" s="19" t="n">
        <v>0.16567</v>
      </c>
      <c r="T169" s="19" t="n">
        <v>0.054128</v>
      </c>
      <c r="U169" s="19" t="n">
        <v>0.1066310545743998</v>
      </c>
      <c r="V169" s="19" t="n">
        <v>0.3178178730475943</v>
      </c>
      <c r="W169" s="37" t="n"/>
      <c r="X169" s="37" t="n">
        <v>0</v>
      </c>
      <c r="Y169" s="19" t="n">
        <v>0.0342698510865442</v>
      </c>
      <c r="Z169" s="19" t="n">
        <v>0.7974830177191883</v>
      </c>
      <c r="AA169" s="19" t="n">
        <v>0.7010387505235576</v>
      </c>
      <c r="AB169" s="19" t="n">
        <v>-0.1643392941844504</v>
      </c>
      <c r="AC169" s="19" t="n">
        <v>-0.612635844951358</v>
      </c>
      <c r="AD169" s="19" t="n">
        <v>-0.5001135721513639</v>
      </c>
      <c r="AE169" s="19" t="n">
        <v>0.0674546198530265</v>
      </c>
      <c r="AF169" s="19" t="n">
        <v>0.0343928581711626</v>
      </c>
      <c r="AG169" s="37" t="n">
        <v>236.9</v>
      </c>
      <c r="AH169" s="37" t="n">
        <v>5.46763811116474</v>
      </c>
      <c r="AI169" s="37" t="n">
        <v>4263</v>
      </c>
      <c r="AJ169" s="37" t="n">
        <v>2.670259331055719</v>
      </c>
    </row>
    <row r="170">
      <c r="A170" s="37" t="n">
        <v>163406</v>
      </c>
      <c r="B170" s="16" t="inlineStr">
        <is>
          <t>谢治宇</t>
        </is>
      </c>
      <c r="C170" s="16" t="inlineStr">
        <is>
          <t>兴全合润混合A</t>
        </is>
      </c>
      <c r="D170" s="16" t="inlineStr">
        <is>
          <t>均衡配置·GARP性价比型</t>
        </is>
      </c>
      <c r="E170" s="37" t="n">
        <v>163406</v>
      </c>
      <c r="F170" s="38" t="n">
        <v>45658</v>
      </c>
      <c r="G170" s="37" t="n">
        <v>2024</v>
      </c>
      <c r="H170" s="37" t="n">
        <v>4</v>
      </c>
      <c r="I170" s="19" t="n">
        <v>-0.0007049912860364001</v>
      </c>
      <c r="J170" s="19" t="n">
        <v>-0.0032049912860364</v>
      </c>
      <c r="K170" s="19" t="n">
        <v>0.008024389447008</v>
      </c>
      <c r="L170" s="19" t="n">
        <v>0.0208479100858466</v>
      </c>
      <c r="M170" s="37" t="n">
        <v>0</v>
      </c>
      <c r="N170" s="37" t="n">
        <v>960.25</v>
      </c>
      <c r="O170" s="19" t="n">
        <v>0.5</v>
      </c>
      <c r="P170" s="19" t="n">
        <v>0.5</v>
      </c>
      <c r="Q170" s="37" t="n">
        <v>79.89398162353859</v>
      </c>
      <c r="R170" s="37" t="n">
        <v>1</v>
      </c>
      <c r="S170" s="19" t="n">
        <v>0.128446</v>
      </c>
      <c r="T170" s="19" t="n">
        <v>0.032233</v>
      </c>
      <c r="U170" s="19" t="n">
        <v>0.2468817348886375</v>
      </c>
      <c r="V170" s="19" t="n">
        <v>0.2499103278811387</v>
      </c>
      <c r="W170" s="37" t="n">
        <v>0</v>
      </c>
      <c r="X170" s="19" t="n">
        <v>0.5937223103024962</v>
      </c>
      <c r="Y170" s="19" t="n">
        <v>0.0323269185571582</v>
      </c>
      <c r="Z170" s="19" t="n">
        <v>0.7694101647252417</v>
      </c>
      <c r="AA170" s="19" t="n">
        <v>0.7010387505235576</v>
      </c>
      <c r="AB170" s="19" t="n">
        <v>-0.0104898533940184</v>
      </c>
      <c r="AC170" s="19" t="n">
        <v>0.116064670880097</v>
      </c>
      <c r="AD170" s="19" t="n">
        <v>0.0437296984290816</v>
      </c>
      <c r="AE170" s="19" t="n">
        <v>0.0659338028448932</v>
      </c>
      <c r="AF170" s="19" t="n">
        <v>0.0538892772402921</v>
      </c>
      <c r="AG170" s="37" t="n">
        <v>228.7</v>
      </c>
      <c r="AH170" s="37" t="n">
        <v>5.432411101028736</v>
      </c>
      <c r="AI170" s="37" t="n">
        <v>4355</v>
      </c>
      <c r="AJ170" s="37" t="n">
        <v>2.687546495870032</v>
      </c>
    </row>
    <row r="171">
      <c r="A171" s="37" t="n">
        <v>163406</v>
      </c>
      <c r="B171" s="16" t="inlineStr">
        <is>
          <t>谢治宇</t>
        </is>
      </c>
      <c r="C171" s="16" t="inlineStr">
        <is>
          <t>兴全合润混合A</t>
        </is>
      </c>
      <c r="D171" s="16" t="inlineStr">
        <is>
          <t>均衡配置·GARP性价比型</t>
        </is>
      </c>
      <c r="E171" s="37" t="n">
        <v>163406</v>
      </c>
      <c r="F171" s="38" t="n">
        <v>45748</v>
      </c>
      <c r="G171" s="37" t="n">
        <v>2025</v>
      </c>
      <c r="H171" s="37" t="n">
        <v>1</v>
      </c>
      <c r="I171" s="19" t="n">
        <v>0.0297462471143807</v>
      </c>
      <c r="J171" s="19" t="n">
        <v>0.0272462471143807</v>
      </c>
      <c r="K171" s="19" t="n">
        <v>0.008024389447008</v>
      </c>
      <c r="L171" s="19" t="n">
        <v>0.0100715547090135</v>
      </c>
      <c r="M171" s="37" t="n"/>
      <c r="N171" s="37" t="n"/>
      <c r="O171" s="37" t="n"/>
      <c r="P171" s="37" t="n"/>
      <c r="Q171" s="37" t="n">
        <v>79.89398162353859</v>
      </c>
      <c r="R171" s="37" t="n"/>
      <c r="S171" s="19" t="n">
        <v>0.136944</v>
      </c>
      <c r="T171" s="19" t="n">
        <v>0.05843</v>
      </c>
      <c r="U171" s="19" t="n">
        <v>0.1550899621823402</v>
      </c>
      <c r="V171" s="19" t="n">
        <v>0.1914657494098857</v>
      </c>
      <c r="W171" s="37" t="n"/>
      <c r="X171" s="37" t="n">
        <v>0</v>
      </c>
      <c r="Y171" s="19" t="n">
        <v>0.0348708232869351</v>
      </c>
      <c r="Z171" s="19" t="n">
        <v>0.805038547572294</v>
      </c>
      <c r="AA171" s="19" t="n">
        <v>0.7010387505235576</v>
      </c>
      <c r="AB171" s="19" t="n">
        <v>-0.0298238836904518</v>
      </c>
      <c r="AC171" s="19" t="n">
        <v>-0.0813350569757752</v>
      </c>
      <c r="AD171" s="19" t="n">
        <v>-0.0335121380490724</v>
      </c>
      <c r="AE171" s="19" t="n">
        <v>0.0634989625426531</v>
      </c>
      <c r="AF171" s="19" t="n">
        <v>0.067036766265358</v>
      </c>
      <c r="AG171" s="37" t="n">
        <v>226</v>
      </c>
      <c r="AH171" s="37" t="n">
        <v>5.420534999272286</v>
      </c>
      <c r="AI171" s="37" t="n">
        <v>4445</v>
      </c>
      <c r="AJ171" s="37" t="n">
        <v>2.704173518486798</v>
      </c>
    </row>
    <row r="172">
      <c r="A172" s="37" t="n">
        <v>163406</v>
      </c>
      <c r="B172" s="16" t="inlineStr">
        <is>
          <t>谢治宇</t>
        </is>
      </c>
      <c r="C172" s="16" t="inlineStr">
        <is>
          <t>兴全合润混合A</t>
        </is>
      </c>
      <c r="D172" s="16" t="inlineStr">
        <is>
          <t>均衡配置·GARP性价比型</t>
        </is>
      </c>
      <c r="E172" s="37" t="n">
        <v>163406</v>
      </c>
      <c r="F172" s="38" t="n">
        <v>45839</v>
      </c>
      <c r="G172" s="37" t="n">
        <v>2025</v>
      </c>
      <c r="H172" s="37" t="n">
        <v>2</v>
      </c>
      <c r="I172" s="19" t="n">
        <v>0.0068471507834795</v>
      </c>
      <c r="J172" s="19" t="n">
        <v>0.0043471507834795</v>
      </c>
      <c r="K172" s="19" t="n">
        <v>0.008024389447008</v>
      </c>
      <c r="L172" s="19" t="n">
        <v>0.0291692766603807</v>
      </c>
      <c r="M172" s="37" t="n"/>
      <c r="N172" s="37" t="n"/>
      <c r="O172" s="19" t="n">
        <v>0.3214285714285714</v>
      </c>
      <c r="P172" s="19" t="n">
        <v>0.6153846153846154</v>
      </c>
      <c r="Q172" s="37" t="n">
        <v>126.540581939899</v>
      </c>
      <c r="R172" s="37" t="n"/>
      <c r="S172" s="19" t="n">
        <v>0.153297</v>
      </c>
      <c r="T172" s="19" t="n">
        <v>0.033617</v>
      </c>
      <c r="U172" s="19" t="n">
        <v>0.1335850661279645</v>
      </c>
      <c r="V172" s="19" t="n">
        <v>0.1534520550298459</v>
      </c>
      <c r="W172" s="19" t="n">
        <v>-0.2939560439560439</v>
      </c>
      <c r="X172" s="37" t="n">
        <v>46.64660031636041</v>
      </c>
      <c r="Y172" s="19" t="n">
        <v>0.0289099702544527</v>
      </c>
      <c r="Z172" s="19" t="n">
        <v>0.8217219946638289</v>
      </c>
      <c r="AA172" s="19" t="n">
        <v>0.7010387505235576</v>
      </c>
      <c r="AB172" s="19" t="n">
        <v>-0.0407975017794564</v>
      </c>
      <c r="AC172" s="19" t="n">
        <v>-0.1973215916171931</v>
      </c>
      <c r="AD172" s="19" t="n">
        <v>-0.0844134372100461</v>
      </c>
      <c r="AE172" s="19" t="n">
        <v>0.0619432478190924</v>
      </c>
      <c r="AF172" s="19" t="n">
        <v>0.0566340054677976</v>
      </c>
      <c r="AG172" s="37" t="n">
        <v>218.5</v>
      </c>
      <c r="AH172" s="37" t="n">
        <v>5.386786014535645</v>
      </c>
      <c r="AI172" s="37" t="n">
        <v>4536</v>
      </c>
      <c r="AJ172" s="37" t="n">
        <v>2.720708827544416</v>
      </c>
    </row>
    <row r="173">
      <c r="A173" s="37" t="n">
        <v>163406</v>
      </c>
      <c r="B173" s="16" t="inlineStr">
        <is>
          <t>谢治宇</t>
        </is>
      </c>
      <c r="C173" s="16" t="inlineStr">
        <is>
          <t>兴全合润混合A</t>
        </is>
      </c>
      <c r="D173" s="16" t="inlineStr">
        <is>
          <t>均衡配置·GARP性价比型</t>
        </is>
      </c>
      <c r="E173" s="37" t="n">
        <v>163406</v>
      </c>
      <c r="F173" s="38" t="n">
        <v>45931</v>
      </c>
      <c r="G173" s="37" t="n">
        <v>2025</v>
      </c>
      <c r="H173" s="37" t="n">
        <v>3</v>
      </c>
      <c r="I173" s="19" t="n">
        <v>0.3616507350054372</v>
      </c>
      <c r="J173" s="19" t="n">
        <v>0.3591507350054372</v>
      </c>
      <c r="K173" s="19" t="n">
        <v>0.008024389447008</v>
      </c>
      <c r="L173" s="19" t="n">
        <v>0.0500516682301943</v>
      </c>
      <c r="M173" s="37" t="n"/>
      <c r="N173" s="37" t="n"/>
      <c r="O173" s="37" t="n"/>
      <c r="P173" s="37" t="n"/>
      <c r="Q173" s="37" t="n">
        <v>126.540581939899</v>
      </c>
      <c r="R173" s="37" t="n"/>
      <c r="S173" s="19" t="n">
        <v>0.252039</v>
      </c>
      <c r="T173" s="19" t="n">
        <v>0.069227</v>
      </c>
      <c r="U173" s="19" t="n">
        <v>0.3027689647474201</v>
      </c>
      <c r="V173" s="19" t="n">
        <v>0.4747329557549632</v>
      </c>
      <c r="W173" s="37" t="n"/>
      <c r="X173" s="37" t="n">
        <v>0</v>
      </c>
      <c r="Y173" s="19" t="n">
        <v>0.1181957404911367</v>
      </c>
      <c r="Z173" s="19" t="n">
        <v>0.9464998637962868</v>
      </c>
      <c r="AA173" s="19" t="n">
        <v>0.7010387505235576</v>
      </c>
      <c r="AB173" s="19" t="n">
        <v>-0.0178124624045761</v>
      </c>
      <c r="AC173" s="19" t="n">
        <v>0.0060854076007065</v>
      </c>
      <c r="AD173" s="19" t="n">
        <v>0.0029628727034436</v>
      </c>
      <c r="AE173" s="19" t="n">
        <v>0.1346688276933219</v>
      </c>
      <c r="AF173" s="19" t="n">
        <v>0.0828459139515675</v>
      </c>
      <c r="AG173" s="37" t="n">
        <v>249.14</v>
      </c>
      <c r="AH173" s="37" t="n">
        <v>5.518014987457946</v>
      </c>
      <c r="AI173" s="37" t="n">
        <v>4628</v>
      </c>
      <c r="AJ173" s="37" t="n">
        <v>2.737152450958491</v>
      </c>
    </row>
    <row r="174">
      <c r="A174" s="37" t="n">
        <v>163406</v>
      </c>
      <c r="B174" s="16" t="inlineStr">
        <is>
          <t>谢治宇</t>
        </is>
      </c>
      <c r="C174" s="16" t="inlineStr">
        <is>
          <t>兴全合润混合A</t>
        </is>
      </c>
      <c r="D174" s="16" t="inlineStr">
        <is>
          <t>均衡配置·GARP性价比型</t>
        </is>
      </c>
      <c r="E174" s="37" t="n">
        <v>163406</v>
      </c>
      <c r="F174" s="38" t="n">
        <v>46023</v>
      </c>
      <c r="G174" s="37" t="n">
        <v>2025</v>
      </c>
      <c r="H174" s="37" t="n">
        <v>4</v>
      </c>
      <c r="I174" s="19" t="n">
        <v>-0.0381258961021044</v>
      </c>
      <c r="J174" s="19" t="n">
        <v>-0.0406258961021044</v>
      </c>
      <c r="K174" s="19" t="n">
        <v>0.008024389447008</v>
      </c>
      <c r="L174" s="19" t="n">
        <v>0.0295039986584095</v>
      </c>
      <c r="M174" s="37" t="n"/>
      <c r="N174" s="37" t="n"/>
      <c r="O174" s="19" t="n">
        <v>0.6521739130434783</v>
      </c>
      <c r="P174" s="19" t="n">
        <v>0.6428571428571429</v>
      </c>
      <c r="Q174" s="37" t="n"/>
      <c r="R174" s="37" t="n"/>
      <c r="S174" s="19" t="n">
        <v>0.178215</v>
      </c>
      <c r="T174" s="19" t="n">
        <v>0.046959</v>
      </c>
      <c r="U174" s="19" t="n">
        <v>0.0514979351173282</v>
      </c>
      <c r="V174" s="19" t="n">
        <v>0.9530436792551248</v>
      </c>
      <c r="W174" s="19" t="n">
        <v>0.0093167701863353</v>
      </c>
      <c r="X174" s="37" t="n"/>
      <c r="Y174" s="19" t="n">
        <v>0.1184022206613529</v>
      </c>
      <c r="Z174" s="19" t="n">
        <v>0.8789564817166184</v>
      </c>
      <c r="AA174" s="19" t="n">
        <v>0.7010387505235576</v>
      </c>
      <c r="AB174" s="19" t="n">
        <v>0.1423562241404308</v>
      </c>
      <c r="AC174" s="37" t="n">
        <v>2.382994773308387</v>
      </c>
      <c r="AD174" s="19" t="n">
        <v>0.4025024818497499</v>
      </c>
      <c r="AE174" s="19" t="n">
        <v>0.1345772314058547</v>
      </c>
      <c r="AF174" s="19" t="n">
        <v>0.0803076238560187</v>
      </c>
      <c r="AG174" s="37" t="n">
        <v>216.88</v>
      </c>
      <c r="AH174" s="37" t="n">
        <v>5.37934420519041</v>
      </c>
      <c r="AI174" s="37" t="n">
        <v>4720</v>
      </c>
      <c r="AJ174" s="37" t="n">
        <v>2.753330050126897</v>
      </c>
    </row>
    <row r="175">
      <c r="A175" s="37" t="n">
        <v>163406</v>
      </c>
      <c r="B175" s="16" t="inlineStr">
        <is>
          <t>谢治宇</t>
        </is>
      </c>
      <c r="C175" s="16" t="inlineStr">
        <is>
          <t>兴全合润混合A</t>
        </is>
      </c>
      <c r="D175" s="16" t="inlineStr">
        <is>
          <t>均衡配置·GARP性价比型</t>
        </is>
      </c>
      <c r="E175" s="37" t="n">
        <v>163406</v>
      </c>
      <c r="F175" s="38" t="n">
        <v>46113</v>
      </c>
      <c r="G175" s="37" t="n">
        <v>2026</v>
      </c>
      <c r="H175" s="37" t="n">
        <v>1</v>
      </c>
      <c r="I175" s="19" t="n">
        <v>0.004047424061939</v>
      </c>
      <c r="J175" s="19" t="n">
        <v>0.001547424061939</v>
      </c>
      <c r="K175" s="19" t="n">
        <v>0.008024389447008</v>
      </c>
      <c r="L175" s="19" t="n">
        <v>0.07873721077796569</v>
      </c>
      <c r="M175" s="37" t="n"/>
      <c r="N175" s="37" t="n"/>
      <c r="O175" s="37" t="n"/>
      <c r="P175" s="37" t="n"/>
      <c r="Q175" s="37" t="n"/>
      <c r="R175" s="37" t="n"/>
      <c r="S175" s="19" t="n">
        <v>0.120506</v>
      </c>
      <c r="T175" s="19" t="n">
        <v>0.06504799999999999</v>
      </c>
      <c r="U175" s="19" t="n">
        <v>0.3726252337246415</v>
      </c>
      <c r="V175" s="19" t="n">
        <v>0.2877127422602813</v>
      </c>
      <c r="W175" s="37" t="n"/>
      <c r="X175" s="37" t="n"/>
      <c r="Y175" s="19" t="n">
        <v>0.1115345614990424</v>
      </c>
      <c r="Z175" s="19" t="n">
        <v>0.8234017885553524</v>
      </c>
      <c r="AA175" s="19" t="n">
        <v>0.7010387505235576</v>
      </c>
      <c r="AB175" s="19" t="n">
        <v>0.1429610292171743</v>
      </c>
      <c r="AC175" s="37" t="n">
        <v>2.418423271216801</v>
      </c>
      <c r="AD175" s="19" t="n">
        <v>0.4037290605548845</v>
      </c>
      <c r="AE175" s="19" t="n">
        <v>0.1309835597189741</v>
      </c>
      <c r="AF175" s="19" t="n">
        <v>0.0628602605589636</v>
      </c>
      <c r="AG175" s="37" t="n">
        <v>192.88</v>
      </c>
      <c r="AH175" s="37" t="n">
        <v>5.262068233872916</v>
      </c>
      <c r="AI175" s="37" t="n">
        <v>4810</v>
      </c>
      <c r="AJ175" s="37" t="n">
        <v>2.768906689055634</v>
      </c>
    </row>
    <row r="176">
      <c r="A176" s="37" t="n">
        <v>163406</v>
      </c>
      <c r="B176" s="16" t="inlineStr">
        <is>
          <t>谢治宇</t>
        </is>
      </c>
      <c r="C176" s="16" t="inlineStr">
        <is>
          <t>兴全合润混合A</t>
        </is>
      </c>
      <c r="D176" s="16" t="inlineStr">
        <is>
          <t>均衡配置·GARP性价比型</t>
        </is>
      </c>
      <c r="E176" s="37" t="n">
        <v>163406</v>
      </c>
      <c r="F176" s="38" t="n">
        <v>46204</v>
      </c>
      <c r="G176" s="37" t="n">
        <v>2026</v>
      </c>
      <c r="H176" s="37" t="n">
        <v>2</v>
      </c>
      <c r="I176" s="19" t="n">
        <v>0.4118150613443787</v>
      </c>
      <c r="J176" s="37" t="n"/>
      <c r="K176" s="19" t="n">
        <v>0.008024389447008</v>
      </c>
      <c r="L176" s="19" t="n">
        <v>0.0657284481875713</v>
      </c>
      <c r="M176" s="37" t="n"/>
      <c r="N176" s="37" t="n"/>
      <c r="O176" s="19" t="n">
        <v>0.8611111111111112</v>
      </c>
      <c r="P176" s="19" t="n">
        <v>0.90625</v>
      </c>
      <c r="Q176" s="37" t="n"/>
      <c r="R176" s="37" t="n"/>
      <c r="S176" s="19" t="n">
        <v>0.446245</v>
      </c>
      <c r="T176" s="19" t="n">
        <v>0.105141</v>
      </c>
      <c r="U176" s="19" t="n">
        <v>0.4816746284501062</v>
      </c>
      <c r="V176" s="37" t="n">
        <v>0</v>
      </c>
      <c r="W176" s="19" t="n">
        <v>-0.0451388888888888</v>
      </c>
      <c r="X176" s="37" t="n"/>
      <c r="Y176" s="19" t="n">
        <v>0.1495561396522922</v>
      </c>
      <c r="Z176" s="19" t="n">
        <v>0.9612160871592378</v>
      </c>
      <c r="AA176" s="19" t="n">
        <v>0.7010387505235576</v>
      </c>
      <c r="AB176" s="19" t="n">
        <v>0.1678671985926187</v>
      </c>
      <c r="AC176" s="37" t="n">
        <v>2.703749495402873</v>
      </c>
      <c r="AD176" s="19" t="n">
        <v>0.4563064612817152</v>
      </c>
      <c r="AE176" s="19" t="n">
        <v>0.1762823801417493</v>
      </c>
      <c r="AF176" s="19" t="n">
        <v>0.0426556540147087</v>
      </c>
      <c r="AG176" s="37" t="n">
        <v>240.58</v>
      </c>
      <c r="AH176" s="37" t="n">
        <v>5.483052674565927</v>
      </c>
      <c r="AI176" s="37" t="n">
        <v>4901</v>
      </c>
      <c r="AJ176" s="37" t="n">
        <v>2.784413517630937</v>
      </c>
    </row>
    <row r="177">
      <c r="A177" s="37" t="n">
        <v>1000</v>
      </c>
      <c r="B177" s="16" t="inlineStr">
        <is>
          <t>葛兰</t>
        </is>
      </c>
      <c r="C177" s="16" t="inlineStr">
        <is>
          <t>中欧明睿新起点混合</t>
        </is>
      </c>
      <c r="D177" s="16" t="inlineStr">
        <is>
          <t>赛道深耕·高信念高波动型</t>
        </is>
      </c>
      <c r="E177" s="37" t="n">
        <v>1000</v>
      </c>
      <c r="F177" s="38" t="n">
        <v>43922</v>
      </c>
      <c r="G177" s="37" t="n">
        <v>2020</v>
      </c>
      <c r="H177" s="37" t="n">
        <v>1</v>
      </c>
      <c r="I177" s="19" t="n">
        <v>-0.0026315849372285</v>
      </c>
      <c r="J177" s="19" t="n">
        <v>-0.0051315849372285</v>
      </c>
      <c r="K177" s="19" t="n">
        <v>0.0275394459193409</v>
      </c>
      <c r="L177" s="19" t="n">
        <v>0.0337078714145481</v>
      </c>
      <c r="M177" s="37" t="n"/>
      <c r="N177" s="37" t="n"/>
      <c r="O177" s="37" t="n"/>
      <c r="P177" s="37" t="n"/>
      <c r="Q177" s="37" t="n">
        <v>137.65950255349</v>
      </c>
      <c r="R177" s="37" t="n"/>
      <c r="S177" s="19" t="n">
        <v>0.508934</v>
      </c>
      <c r="T177" s="19" t="n">
        <v>0.114026</v>
      </c>
      <c r="U177" s="19" t="n">
        <v>0.233642887294217</v>
      </c>
      <c r="V177" s="37" t="n"/>
      <c r="W177" s="37" t="n"/>
      <c r="X177" s="37" t="n"/>
      <c r="Y177" s="37" t="n"/>
      <c r="Z177" s="19" t="n">
        <v>0.8116532266771335</v>
      </c>
      <c r="AA177" s="37" t="n">
        <v>2.104864005561097</v>
      </c>
      <c r="AB177" s="37" t="n"/>
      <c r="AC177" s="37" t="n"/>
      <c r="AD177" s="37" t="n"/>
      <c r="AE177" s="37" t="n"/>
      <c r="AF177" s="19" t="n">
        <v>0.030598095163912</v>
      </c>
      <c r="AG177" s="37" t="n">
        <v>25.39</v>
      </c>
      <c r="AH177" s="37" t="n">
        <v>3.234355395716587</v>
      </c>
      <c r="AI177" s="37" t="n">
        <v>629</v>
      </c>
      <c r="AJ177" s="37" t="n">
        <v>1.643138684720024</v>
      </c>
    </row>
    <row r="178">
      <c r="A178" s="37" t="n">
        <v>1000</v>
      </c>
      <c r="B178" s="16" t="inlineStr">
        <is>
          <t>葛兰</t>
        </is>
      </c>
      <c r="C178" s="16" t="inlineStr">
        <is>
          <t>中欧明睿新起点混合</t>
        </is>
      </c>
      <c r="D178" s="16" t="inlineStr">
        <is>
          <t>赛道深耕·高信念高波动型</t>
        </is>
      </c>
      <c r="E178" s="37" t="n">
        <v>1000</v>
      </c>
      <c r="F178" s="38" t="n">
        <v>44013</v>
      </c>
      <c r="G178" s="37" t="n">
        <v>2020</v>
      </c>
      <c r="H178" s="37" t="n">
        <v>2</v>
      </c>
      <c r="I178" s="19" t="n">
        <v>0.3588356645753776</v>
      </c>
      <c r="J178" s="19" t="n">
        <v>0.3563356645753776</v>
      </c>
      <c r="K178" s="19" t="n">
        <v>0.0275394459193409</v>
      </c>
      <c r="L178" s="19" t="n">
        <v>0.1004835289480726</v>
      </c>
      <c r="M178" s="37" t="n"/>
      <c r="N178" s="37" t="n"/>
      <c r="O178" s="19" t="n">
        <v>0.25</v>
      </c>
      <c r="P178" s="37" t="n">
        <v>1</v>
      </c>
      <c r="Q178" s="37" t="n">
        <v>132.585091955447</v>
      </c>
      <c r="R178" s="37" t="n"/>
      <c r="S178" s="19" t="n">
        <v>0.238732</v>
      </c>
      <c r="T178" s="19" t="n">
        <v>0.039743</v>
      </c>
      <c r="U178" s="19" t="n">
        <v>0.4002603570466959</v>
      </c>
      <c r="V178" s="37" t="n"/>
      <c r="W178" s="19" t="n">
        <v>-0.75</v>
      </c>
      <c r="X178" s="37" t="n">
        <v>0</v>
      </c>
      <c r="Y178" s="37" t="n"/>
      <c r="Z178" s="19" t="n">
        <v>0.9771068776955392</v>
      </c>
      <c r="AA178" s="37" t="n">
        <v>2.104864005561097</v>
      </c>
      <c r="AB178" s="37" t="n"/>
      <c r="AC178" s="37" t="n"/>
      <c r="AD178" s="37" t="n"/>
      <c r="AE178" s="37" t="n"/>
      <c r="AF178" s="19" t="n">
        <v>0.07591362072336651</v>
      </c>
      <c r="AG178" s="37" t="n">
        <v>31.2</v>
      </c>
      <c r="AH178" s="37" t="n">
        <v>3.440418094815437</v>
      </c>
      <c r="AI178" s="37" t="n">
        <v>720</v>
      </c>
      <c r="AJ178" s="37" t="n">
        <v>1.690187940907096</v>
      </c>
    </row>
    <row r="179">
      <c r="A179" s="37" t="n">
        <v>1000</v>
      </c>
      <c r="B179" s="16" t="inlineStr">
        <is>
          <t>葛兰</t>
        </is>
      </c>
      <c r="C179" s="16" t="inlineStr">
        <is>
          <t>中欧明睿新起点混合</t>
        </is>
      </c>
      <c r="D179" s="16" t="inlineStr">
        <is>
          <t>赛道深耕·高信念高波动型</t>
        </is>
      </c>
      <c r="E179" s="37" t="n">
        <v>1000</v>
      </c>
      <c r="F179" s="38" t="n">
        <v>44105</v>
      </c>
      <c r="G179" s="37" t="n">
        <v>2020</v>
      </c>
      <c r="H179" s="37" t="n">
        <v>3</v>
      </c>
      <c r="I179" s="19" t="n">
        <v>0.07187420170262281</v>
      </c>
      <c r="J179" s="19" t="n">
        <v>0.0693742017026228</v>
      </c>
      <c r="K179" s="19" t="n">
        <v>0.0275394459193409</v>
      </c>
      <c r="L179" s="19" t="n">
        <v>0.0638249012909138</v>
      </c>
      <c r="M179" s="37" t="n"/>
      <c r="N179" s="37" t="n"/>
      <c r="O179" s="37" t="n"/>
      <c r="P179" s="37" t="n"/>
      <c r="Q179" s="37" t="n">
        <v>132.585091955447</v>
      </c>
      <c r="R179" s="37" t="n"/>
      <c r="S179" s="19" t="n">
        <v>0.302633</v>
      </c>
      <c r="T179" s="19" t="n">
        <v>0.126937</v>
      </c>
      <c r="U179" s="19" t="n">
        <v>0.1767453265571156</v>
      </c>
      <c r="V179" s="37" t="n"/>
      <c r="W179" s="37" t="n"/>
      <c r="X179" s="37" t="n">
        <v>0</v>
      </c>
      <c r="Y179" s="37" t="n"/>
      <c r="Z179" s="19" t="n">
        <v>0.9649539978327942</v>
      </c>
      <c r="AA179" s="37" t="n">
        <v>2.104864005561097</v>
      </c>
      <c r="AB179" s="37" t="n"/>
      <c r="AC179" s="37" t="n"/>
      <c r="AD179" s="37" t="n"/>
      <c r="AE179" s="19" t="n">
        <v>0.2009058386405155</v>
      </c>
      <c r="AF179" s="19" t="n">
        <v>0.1576820806238956</v>
      </c>
      <c r="AG179" s="37" t="n">
        <v>33.57</v>
      </c>
      <c r="AH179" s="37" t="n">
        <v>3.513632810991944</v>
      </c>
      <c r="AI179" s="37" t="n">
        <v>812</v>
      </c>
      <c r="AJ179" s="37" t="n">
        <v>1.735605420597888</v>
      </c>
    </row>
    <row r="180">
      <c r="A180" s="37" t="n">
        <v>1000</v>
      </c>
      <c r="B180" s="16" t="inlineStr">
        <is>
          <t>葛兰</t>
        </is>
      </c>
      <c r="C180" s="16" t="inlineStr">
        <is>
          <t>中欧明睿新起点混合</t>
        </is>
      </c>
      <c r="D180" s="16" t="inlineStr">
        <is>
          <t>赛道深耕·高信念高波动型</t>
        </is>
      </c>
      <c r="E180" s="37" t="n">
        <v>1000</v>
      </c>
      <c r="F180" s="38" t="n">
        <v>44197</v>
      </c>
      <c r="G180" s="37" t="n">
        <v>2020</v>
      </c>
      <c r="H180" s="37" t="n">
        <v>4</v>
      </c>
      <c r="I180" s="19" t="n">
        <v>0.255793757257563</v>
      </c>
      <c r="J180" s="19" t="n">
        <v>0.253293757257563</v>
      </c>
      <c r="K180" s="19" t="n">
        <v>0.0275394459193409</v>
      </c>
      <c r="L180" s="19" t="n">
        <v>0.07448301485611029</v>
      </c>
      <c r="M180" s="37" t="n">
        <v>9117.719999999999</v>
      </c>
      <c r="N180" s="37" t="n">
        <v>8211.4</v>
      </c>
      <c r="O180" s="19" t="n">
        <v>0.3928571428571428</v>
      </c>
      <c r="P180" s="19" t="n">
        <v>0.7857142857142857</v>
      </c>
      <c r="Q180" s="37" t="n">
        <v>120.955817488062</v>
      </c>
      <c r="R180" s="19" t="n">
        <v>0.972629173172706</v>
      </c>
      <c r="S180" s="19" t="n">
        <v>0.224815</v>
      </c>
      <c r="T180" s="19" t="n">
        <v>0.040504</v>
      </c>
      <c r="U180" s="19" t="n">
        <v>0.177273197095133</v>
      </c>
      <c r="V180" s="37" t="n"/>
      <c r="W180" s="19" t="n">
        <v>-0.3928571428571428</v>
      </c>
      <c r="X180" s="37" t="n">
        <v>-11.62927446738502</v>
      </c>
      <c r="Y180" s="37" t="n"/>
      <c r="Z180" s="19" t="n">
        <v>0.988812527597559</v>
      </c>
      <c r="AA180" s="37" t="n">
        <v>2.104864005561097</v>
      </c>
      <c r="AB180" s="37" t="n"/>
      <c r="AC180" s="37" t="n"/>
      <c r="AD180" s="37" t="n"/>
      <c r="AE180" s="19" t="n">
        <v>0.1749925730929485</v>
      </c>
      <c r="AF180" s="19" t="n">
        <v>0.0965105041054974</v>
      </c>
      <c r="AG180" s="37" t="n">
        <v>39.36</v>
      </c>
      <c r="AH180" s="37" t="n">
        <v>3.672750072184053</v>
      </c>
      <c r="AI180" s="37" t="n">
        <v>904</v>
      </c>
      <c r="AJ180" s="37" t="n">
        <v>1.779049457184887</v>
      </c>
    </row>
    <row r="181">
      <c r="A181" s="37" t="n">
        <v>1000</v>
      </c>
      <c r="B181" s="16" t="inlineStr">
        <is>
          <t>葛兰</t>
        </is>
      </c>
      <c r="C181" s="16" t="inlineStr">
        <is>
          <t>中欧明睿新起点混合</t>
        </is>
      </c>
      <c r="D181" s="16" t="inlineStr">
        <is>
          <t>赛道深耕·高信念高波动型</t>
        </is>
      </c>
      <c r="E181" s="37" t="n">
        <v>1000</v>
      </c>
      <c r="F181" s="38" t="n">
        <v>44287</v>
      </c>
      <c r="G181" s="37" t="n">
        <v>2021</v>
      </c>
      <c r="H181" s="37" t="n">
        <v>1</v>
      </c>
      <c r="I181" s="19" t="n">
        <v>-0.1217400548101235</v>
      </c>
      <c r="J181" s="19" t="n">
        <v>-0.1242400548101235</v>
      </c>
      <c r="K181" s="19" t="n">
        <v>0.0275394459193409</v>
      </c>
      <c r="L181" s="19" t="n">
        <v>0.0150939277203721</v>
      </c>
      <c r="M181" s="37" t="n"/>
      <c r="N181" s="37" t="n"/>
      <c r="O181" s="37" t="n"/>
      <c r="P181" s="37" t="n"/>
      <c r="Q181" s="37" t="n">
        <v>120.955817488062</v>
      </c>
      <c r="R181" s="37" t="n"/>
      <c r="S181" s="19" t="n">
        <v>0.260251</v>
      </c>
      <c r="T181" s="19" t="n">
        <v>0.113726</v>
      </c>
      <c r="U181" s="19" t="n">
        <v>0.1715465135596797</v>
      </c>
      <c r="V181" s="37" t="n"/>
      <c r="W181" s="37" t="n"/>
      <c r="X181" s="37" t="n">
        <v>0</v>
      </c>
      <c r="Y181" s="19" t="n">
        <v>0.0720104889483819</v>
      </c>
      <c r="Z181" s="19" t="n">
        <v>0.8390534508041477</v>
      </c>
      <c r="AA181" s="37" t="n">
        <v>2.104864005561097</v>
      </c>
      <c r="AB181" s="19" t="n">
        <v>0.5314241114720248</v>
      </c>
      <c r="AC181" s="37" t="n"/>
      <c r="AD181" s="37" t="n">
        <v>1.016232559862273</v>
      </c>
      <c r="AE181" s="19" t="n">
        <v>0.1983839892027111</v>
      </c>
      <c r="AF181" s="19" t="n">
        <v>0.0846148798433014</v>
      </c>
      <c r="AG181" s="37" t="n">
        <v>29.2</v>
      </c>
      <c r="AH181" s="37" t="n">
        <v>3.374168709274236</v>
      </c>
      <c r="AI181" s="37" t="n">
        <v>994</v>
      </c>
      <c r="AJ181" s="37" t="n">
        <v>1.819797511818236</v>
      </c>
    </row>
    <row r="182">
      <c r="A182" s="37" t="n">
        <v>1000</v>
      </c>
      <c r="B182" s="16" t="inlineStr">
        <is>
          <t>葛兰</t>
        </is>
      </c>
      <c r="C182" s="16" t="inlineStr">
        <is>
          <t>中欧明睿新起点混合</t>
        </is>
      </c>
      <c r="D182" s="16" t="inlineStr">
        <is>
          <t>赛道深耕·高信念高波动型</t>
        </is>
      </c>
      <c r="E182" s="37" t="n">
        <v>1000</v>
      </c>
      <c r="F182" s="38" t="n">
        <v>44378</v>
      </c>
      <c r="G182" s="37" t="n">
        <v>2021</v>
      </c>
      <c r="H182" s="37" t="n">
        <v>2</v>
      </c>
      <c r="I182" s="19" t="n">
        <v>0.3636611678985679</v>
      </c>
      <c r="J182" s="19" t="n">
        <v>0.3611611678985679</v>
      </c>
      <c r="K182" s="19" t="n">
        <v>0.0275394459193409</v>
      </c>
      <c r="L182" s="19" t="n">
        <v>0.0390621589724186</v>
      </c>
      <c r="M182" s="37" t="n">
        <v>5110.839999999999</v>
      </c>
      <c r="N182" s="37" t="n">
        <v>8731.6</v>
      </c>
      <c r="O182" s="19" t="n">
        <v>0.4729729729729729</v>
      </c>
      <c r="P182" s="19" t="n">
        <v>0.9375</v>
      </c>
      <c r="Q182" s="37" t="n">
        <v>113.791916577469</v>
      </c>
      <c r="R182" s="19" t="n">
        <v>0.9165758418894024</v>
      </c>
      <c r="S182" s="19" t="n">
        <v>0.266336</v>
      </c>
      <c r="T182" s="19" t="n">
        <v>0.044533</v>
      </c>
      <c r="U182" s="19" t="n">
        <v>0.1307230838566616</v>
      </c>
      <c r="V182" s="37" t="n"/>
      <c r="W182" s="19" t="n">
        <v>-0.464527027027027</v>
      </c>
      <c r="X182" s="37" t="n">
        <v>0</v>
      </c>
      <c r="Y182" s="19" t="n">
        <v>0.07157667030530369</v>
      </c>
      <c r="Z182" s="19" t="n">
        <v>0.9902897850991956</v>
      </c>
      <c r="AA182" s="37" t="n">
        <v>2.104864005561097</v>
      </c>
      <c r="AB182" s="19" t="n">
        <v>0.2695447898271459</v>
      </c>
      <c r="AC182" s="37" t="n"/>
      <c r="AD182" s="19" t="n">
        <v>0.5657962833368316</v>
      </c>
      <c r="AE182" s="19" t="n">
        <v>0.2060572484564881</v>
      </c>
      <c r="AF182" s="19" t="n">
        <v>0.0903356462404836</v>
      </c>
      <c r="AG182" s="37" t="n">
        <v>37.98</v>
      </c>
      <c r="AH182" s="37" t="n">
        <v>3.63705970538414</v>
      </c>
      <c r="AI182" s="37" t="n">
        <v>1085</v>
      </c>
      <c r="AJ182" s="37" t="n">
        <v>1.859376498098894</v>
      </c>
    </row>
    <row r="183">
      <c r="A183" s="37" t="n">
        <v>1000</v>
      </c>
      <c r="B183" s="16" t="inlineStr">
        <is>
          <t>葛兰</t>
        </is>
      </c>
      <c r="C183" s="16" t="inlineStr">
        <is>
          <t>中欧明睿新起点混合</t>
        </is>
      </c>
      <c r="D183" s="16" t="inlineStr">
        <is>
          <t>赛道深耕·高信念高波动型</t>
        </is>
      </c>
      <c r="E183" s="37" t="n">
        <v>1000</v>
      </c>
      <c r="F183" s="38" t="n">
        <v>44470</v>
      </c>
      <c r="G183" s="37" t="n">
        <v>2021</v>
      </c>
      <c r="H183" s="37" t="n">
        <v>3</v>
      </c>
      <c r="I183" s="19" t="n">
        <v>-0.0297737942110715</v>
      </c>
      <c r="J183" s="19" t="n">
        <v>-0.0322737942110715</v>
      </c>
      <c r="K183" s="19" t="n">
        <v>0.0275394459193409</v>
      </c>
      <c r="L183" s="19" t="n">
        <v>0.1493578591196441</v>
      </c>
      <c r="M183" s="37" t="n"/>
      <c r="N183" s="37" t="n"/>
      <c r="O183" s="37" t="n"/>
      <c r="P183" s="37" t="n"/>
      <c r="Q183" s="37" t="n">
        <v>113.791916577469</v>
      </c>
      <c r="R183" s="37" t="n"/>
      <c r="S183" s="19" t="n">
        <v>0.499981</v>
      </c>
      <c r="T183" s="19" t="n">
        <v>0.111357</v>
      </c>
      <c r="U183" s="19" t="n">
        <v>0.3904944928302998</v>
      </c>
      <c r="V183" s="37" t="n"/>
      <c r="W183" s="37" t="n"/>
      <c r="X183" s="37" t="n">
        <v>0</v>
      </c>
      <c r="Y183" s="19" t="n">
        <v>0.0745952695010192</v>
      </c>
      <c r="Z183" s="19" t="n">
        <v>0.92624594855953</v>
      </c>
      <c r="AA183" s="37" t="n">
        <v>2.104864005561097</v>
      </c>
      <c r="AB183" s="19" t="n">
        <v>0.4009611368348539</v>
      </c>
      <c r="AC183" s="37" t="n"/>
      <c r="AD183" s="19" t="n">
        <v>0.7522771720112476</v>
      </c>
      <c r="AE183" s="19" t="n">
        <v>0.2000082895726866</v>
      </c>
      <c r="AF183" s="19" t="n">
        <v>0.0491214549985114</v>
      </c>
      <c r="AG183" s="37" t="n">
        <v>39.23</v>
      </c>
      <c r="AH183" s="37" t="n">
        <v>3.669441760221461</v>
      </c>
      <c r="AI183" s="37" t="n">
        <v>1177</v>
      </c>
      <c r="AJ183" s="37" t="n">
        <v>1.897858870843721</v>
      </c>
    </row>
    <row r="184">
      <c r="A184" s="37" t="n">
        <v>1000</v>
      </c>
      <c r="B184" s="16" t="inlineStr">
        <is>
          <t>葛兰</t>
        </is>
      </c>
      <c r="C184" s="16" t="inlineStr">
        <is>
          <t>中欧明睿新起点混合</t>
        </is>
      </c>
      <c r="D184" s="16" t="inlineStr">
        <is>
          <t>赛道深耕·高信念高波动型</t>
        </is>
      </c>
      <c r="E184" s="37" t="n">
        <v>1000</v>
      </c>
      <c r="F184" s="38" t="n">
        <v>44562</v>
      </c>
      <c r="G184" s="37" t="n">
        <v>2021</v>
      </c>
      <c r="H184" s="37" t="n">
        <v>4</v>
      </c>
      <c r="I184" s="19" t="n">
        <v>-0.0383614681219383</v>
      </c>
      <c r="J184" s="19" t="n">
        <v>-0.0408614681219383</v>
      </c>
      <c r="K184" s="19" t="n">
        <v>0.0275394459193409</v>
      </c>
      <c r="L184" s="19" t="n">
        <v>0.0356968935483801</v>
      </c>
      <c r="M184" s="37" t="n">
        <v>15104.31</v>
      </c>
      <c r="N184" s="37" t="n">
        <v>4987.77</v>
      </c>
      <c r="O184" s="19" t="n">
        <v>0.5072463768115942</v>
      </c>
      <c r="P184" s="19" t="n">
        <v>0.8412698412698413</v>
      </c>
      <c r="Q184" s="37" t="n">
        <v>30.2734309508099</v>
      </c>
      <c r="R184" s="19" t="n">
        <v>0.9302698568208716</v>
      </c>
      <c r="S184" s="19" t="n">
        <v>0.394834</v>
      </c>
      <c r="T184" s="19" t="n">
        <v>0.049316</v>
      </c>
      <c r="U184" s="19" t="n">
        <v>0.0819814527094434</v>
      </c>
      <c r="V184" s="37" t="n"/>
      <c r="W184" s="19" t="n">
        <v>-0.334023464458247</v>
      </c>
      <c r="X184" s="37" t="n">
        <v>0</v>
      </c>
      <c r="Y184" s="19" t="n">
        <v>0.0793331158662679</v>
      </c>
      <c r="Z184" s="19" t="n">
        <v>0.8400461191840569</v>
      </c>
      <c r="AA184" s="37" t="n">
        <v>2.104864005561097</v>
      </c>
      <c r="AB184" s="19" t="n">
        <v>0.315762176138527</v>
      </c>
      <c r="AC184" s="37" t="n">
        <v>2.010455226366357</v>
      </c>
      <c r="AD184" s="19" t="n">
        <v>0.6373766345582631</v>
      </c>
      <c r="AE184" s="19" t="n">
        <v>0.1939231992193065</v>
      </c>
      <c r="AF184" s="19" t="n">
        <v>0.0519185136568773</v>
      </c>
      <c r="AG184" s="37" t="n">
        <v>36.23</v>
      </c>
      <c r="AH184" s="37" t="n">
        <v>3.589887504906986</v>
      </c>
      <c r="AI184" s="37" t="n">
        <v>1269</v>
      </c>
      <c r="AJ184" s="37" t="n">
        <v>1.93491506388848</v>
      </c>
    </row>
    <row r="185">
      <c r="A185" s="37" t="n">
        <v>1000</v>
      </c>
      <c r="B185" s="16" t="inlineStr">
        <is>
          <t>葛兰</t>
        </is>
      </c>
      <c r="C185" s="16" t="inlineStr">
        <is>
          <t>中欧明睿新起点混合</t>
        </is>
      </c>
      <c r="D185" s="16" t="inlineStr">
        <is>
          <t>赛道深耕·高信念高波动型</t>
        </is>
      </c>
      <c r="E185" s="37" t="n">
        <v>1000</v>
      </c>
      <c r="F185" s="38" t="n">
        <v>44652</v>
      </c>
      <c r="G185" s="37" t="n">
        <v>2022</v>
      </c>
      <c r="H185" s="37" t="n">
        <v>1</v>
      </c>
      <c r="I185" s="19" t="n">
        <v>-0.172908558858663</v>
      </c>
      <c r="J185" s="19" t="n">
        <v>-0.175408558858663</v>
      </c>
      <c r="K185" s="19" t="n">
        <v>0.0275394459193409</v>
      </c>
      <c r="L185" s="19" t="n">
        <v>0.0126138883987602</v>
      </c>
      <c r="M185" s="37" t="n"/>
      <c r="N185" s="37" t="n"/>
      <c r="O185" s="37" t="n"/>
      <c r="P185" s="37" t="n"/>
      <c r="Q185" s="37" t="n">
        <v>30.2734309508099</v>
      </c>
      <c r="R185" s="37" t="n"/>
      <c r="S185" s="19" t="n">
        <v>0.625292</v>
      </c>
      <c r="T185" s="19" t="n">
        <v>0.112928</v>
      </c>
      <c r="U185" s="19" t="n">
        <v>0.1207479139385231</v>
      </c>
      <c r="V185" s="37" t="n"/>
      <c r="W185" s="37" t="n"/>
      <c r="X185" s="37" t="n">
        <v>0</v>
      </c>
      <c r="Y185" s="19" t="n">
        <v>0.0587834692035973</v>
      </c>
      <c r="Z185" s="19" t="n">
        <v>0.6989226526714116</v>
      </c>
      <c r="AA185" s="37" t="n">
        <v>2.104864005561097</v>
      </c>
      <c r="AB185" s="19" t="n">
        <v>0.2487333816888937</v>
      </c>
      <c r="AC185" s="37" t="n">
        <v>2.03774341758467</v>
      </c>
      <c r="AD185" s="19" t="n">
        <v>0.5466233489559369</v>
      </c>
      <c r="AE185" s="19" t="n">
        <v>0.2137585983719537</v>
      </c>
      <c r="AF185" s="19" t="n">
        <v>0.0348465797955593</v>
      </c>
      <c r="AG185" s="37" t="n">
        <v>28.46</v>
      </c>
      <c r="AH185" s="37" t="n">
        <v>3.348499592661706</v>
      </c>
      <c r="AI185" s="37" t="n">
        <v>1359</v>
      </c>
      <c r="AJ185" s="37" t="n">
        <v>1.969883661726226</v>
      </c>
    </row>
    <row r="186">
      <c r="A186" s="37" t="n">
        <v>1000</v>
      </c>
      <c r="B186" s="16" t="inlineStr">
        <is>
          <t>葛兰</t>
        </is>
      </c>
      <c r="C186" s="16" t="inlineStr">
        <is>
          <t>中欧明睿新起点混合</t>
        </is>
      </c>
      <c r="D186" s="16" t="inlineStr">
        <is>
          <t>赛道深耕·高信念高波动型</t>
        </is>
      </c>
      <c r="E186" s="37" t="n">
        <v>1000</v>
      </c>
      <c r="F186" s="38" t="n">
        <v>44743</v>
      </c>
      <c r="G186" s="37" t="n">
        <v>2022</v>
      </c>
      <c r="H186" s="37" t="n">
        <v>2</v>
      </c>
      <c r="I186" s="19" t="n">
        <v>0.140355589898375</v>
      </c>
      <c r="J186" s="19" t="n">
        <v>0.137855589898375</v>
      </c>
      <c r="K186" s="19" t="n">
        <v>0.0275394459193409</v>
      </c>
      <c r="L186" s="19" t="n">
        <v>0.0745709570751522</v>
      </c>
      <c r="M186" s="37" t="n">
        <v>3696.02</v>
      </c>
      <c r="N186" s="37" t="n">
        <v>13038.26</v>
      </c>
      <c r="O186" s="19" t="n">
        <v>0.4230769230769231</v>
      </c>
      <c r="P186" s="19" t="n">
        <v>0.8604651162790697</v>
      </c>
      <c r="Q186" s="37" t="n">
        <v>69.94809032454179</v>
      </c>
      <c r="R186" s="19" t="n">
        <v>0.7479870304598251</v>
      </c>
      <c r="S186" s="19" t="n">
        <v>0.425861</v>
      </c>
      <c r="T186" s="19" t="n">
        <v>0.050177</v>
      </c>
      <c r="U186" s="19" t="n">
        <v>0.0649430821353137</v>
      </c>
      <c r="V186" s="19" t="n">
        <v>0.5255876776853603</v>
      </c>
      <c r="W186" s="19" t="n">
        <v>-0.4373881932021466</v>
      </c>
      <c r="X186" s="37" t="n">
        <v>0</v>
      </c>
      <c r="Y186" s="19" t="n">
        <v>0.052011323627813</v>
      </c>
      <c r="Z186" s="19" t="n">
        <v>0.8313644403314765</v>
      </c>
      <c r="AA186" s="37" t="n">
        <v>2.104864005561097</v>
      </c>
      <c r="AB186" s="19" t="n">
        <v>0.1228823590499395</v>
      </c>
      <c r="AC186" s="37" t="n">
        <v>1.213703665592944</v>
      </c>
      <c r="AD186" s="19" t="n">
        <v>0.3904033763661659</v>
      </c>
      <c r="AE186" s="19" t="n">
        <v>0.1860892782754171</v>
      </c>
      <c r="AF186" s="19" t="n">
        <v>0.1018446737153824</v>
      </c>
      <c r="AG186" s="37" t="n">
        <v>31.94</v>
      </c>
      <c r="AH186" s="37" t="n">
        <v>3.463859142786867</v>
      </c>
      <c r="AI186" s="37" t="n">
        <v>1450</v>
      </c>
      <c r="AJ186" s="37" t="n">
        <v>2.004039731092261</v>
      </c>
    </row>
    <row r="187">
      <c r="A187" s="37" t="n">
        <v>1000</v>
      </c>
      <c r="B187" s="16" t="inlineStr">
        <is>
          <t>葛兰</t>
        </is>
      </c>
      <c r="C187" s="16" t="inlineStr">
        <is>
          <t>中欧明睿新起点混合</t>
        </is>
      </c>
      <c r="D187" s="16" t="inlineStr">
        <is>
          <t>赛道深耕·高信念高波动型</t>
        </is>
      </c>
      <c r="E187" s="37" t="n">
        <v>1000</v>
      </c>
      <c r="F187" s="38" t="n">
        <v>44835</v>
      </c>
      <c r="G187" s="37" t="n">
        <v>2022</v>
      </c>
      <c r="H187" s="37" t="n">
        <v>3</v>
      </c>
      <c r="I187" s="19" t="n">
        <v>-0.1874547237695392</v>
      </c>
      <c r="J187" s="19" t="n">
        <v>-0.1899547237695392</v>
      </c>
      <c r="K187" s="19" t="n">
        <v>0.0275394459193409</v>
      </c>
      <c r="L187" s="19" t="n">
        <v>0.030535403406615</v>
      </c>
      <c r="M187" s="37" t="n"/>
      <c r="N187" s="37" t="n"/>
      <c r="O187" s="37" t="n"/>
      <c r="P187" s="37" t="n"/>
      <c r="Q187" s="37" t="n">
        <v>69.94809032454179</v>
      </c>
      <c r="R187" s="37" t="n"/>
      <c r="S187" s="19" t="n">
        <v>0.681316</v>
      </c>
      <c r="T187" s="19" t="n">
        <v>0.109468</v>
      </c>
      <c r="U187" s="19" t="n">
        <v>0.0562401263823065</v>
      </c>
      <c r="V187" s="19" t="n">
        <v>0.0844350456397254</v>
      </c>
      <c r="W187" s="37" t="n"/>
      <c r="X187" s="37" t="n">
        <v>0</v>
      </c>
      <c r="Y187" s="19" t="n">
        <v>0.0255096879351312</v>
      </c>
      <c r="Z187" s="19" t="n">
        <v>0.6978162695991612</v>
      </c>
      <c r="AA187" s="37" t="n">
        <v>2.104864005561097</v>
      </c>
      <c r="AB187" s="19" t="n">
        <v>0.0630309051712741</v>
      </c>
      <c r="AC187" s="19" t="n">
        <v>0.8163742524155854</v>
      </c>
      <c r="AD187" s="19" t="n">
        <v>0.3017018050137062</v>
      </c>
      <c r="AE187" s="19" t="n">
        <v>0.2050651001480371</v>
      </c>
      <c r="AF187" s="19" t="n">
        <v>0.1325431035983207</v>
      </c>
      <c r="AG187" s="37" t="n">
        <v>25.4</v>
      </c>
      <c r="AH187" s="37" t="n">
        <v>3.234749174024491</v>
      </c>
      <c r="AI187" s="37" t="n">
        <v>1542</v>
      </c>
      <c r="AJ187" s="37" t="n">
        <v>2.037424544115467</v>
      </c>
    </row>
    <row r="188">
      <c r="A188" s="37" t="n">
        <v>1000</v>
      </c>
      <c r="B188" s="16" t="inlineStr">
        <is>
          <t>葛兰</t>
        </is>
      </c>
      <c r="C188" s="16" t="inlineStr">
        <is>
          <t>中欧明睿新起点混合</t>
        </is>
      </c>
      <c r="D188" s="16" t="inlineStr">
        <is>
          <t>赛道深耕·高信念高波动型</t>
        </is>
      </c>
      <c r="E188" s="37" t="n">
        <v>1000</v>
      </c>
      <c r="F188" s="38" t="n">
        <v>44927</v>
      </c>
      <c r="G188" s="37" t="n">
        <v>2022</v>
      </c>
      <c r="H188" s="37" t="n">
        <v>4</v>
      </c>
      <c r="I188" s="19" t="n">
        <v>-0.0771278547250088</v>
      </c>
      <c r="J188" s="19" t="n">
        <v>-0.0796278547250088</v>
      </c>
      <c r="K188" s="19" t="n">
        <v>0.0275394459193409</v>
      </c>
      <c r="L188" s="19" t="n">
        <v>0.0305384748464261</v>
      </c>
      <c r="M188" s="37" t="n">
        <v>13472.17</v>
      </c>
      <c r="N188" s="37" t="n">
        <v>4966.48</v>
      </c>
      <c r="O188" s="19" t="n">
        <v>0.3043478260869565</v>
      </c>
      <c r="P188" s="19" t="n">
        <v>0.5555555555555556</v>
      </c>
      <c r="Q188" s="37" t="n">
        <v>406.461790955728</v>
      </c>
      <c r="R188" s="19" t="n">
        <v>0.856183195756661</v>
      </c>
      <c r="S188" s="19" t="n">
        <v>0.441468</v>
      </c>
      <c r="T188" s="19" t="n">
        <v>0.054535</v>
      </c>
      <c r="U188" s="19" t="n">
        <v>0.0155286109338437</v>
      </c>
      <c r="V188" s="19" t="n">
        <v>0.2410296090050724</v>
      </c>
      <c r="W188" s="19" t="n">
        <v>-0.251207729468599</v>
      </c>
      <c r="X188" s="37" t="n">
        <v>0</v>
      </c>
      <c r="Y188" s="19" t="n">
        <v>0.0504892897858713</v>
      </c>
      <c r="Z188" s="19" t="n">
        <v>0.6525918533955614</v>
      </c>
      <c r="AA188" s="37" t="n">
        <v>2.104864005561097</v>
      </c>
      <c r="AB188" s="19" t="n">
        <v>-0.0974065668555487</v>
      </c>
      <c r="AC188" s="19" t="n">
        <v>0.3220001629032253</v>
      </c>
      <c r="AD188" s="19" t="n">
        <v>0.115606406291312</v>
      </c>
      <c r="AE188" s="19" t="n">
        <v>0.1845409242950044</v>
      </c>
      <c r="AF188" s="19" t="n">
        <v>0.0789096640508057</v>
      </c>
      <c r="AG188" s="37" t="n">
        <v>22.63</v>
      </c>
      <c r="AH188" s="37" t="n">
        <v>3.119276459645446</v>
      </c>
      <c r="AI188" s="37" t="n">
        <v>1634</v>
      </c>
      <c r="AJ188" s="37" t="n">
        <v>2.069730724409944</v>
      </c>
    </row>
    <row r="189">
      <c r="A189" s="37" t="n">
        <v>1000</v>
      </c>
      <c r="B189" s="16" t="inlineStr">
        <is>
          <t>葛兰</t>
        </is>
      </c>
      <c r="C189" s="16" t="inlineStr">
        <is>
          <t>中欧明睿新起点混合</t>
        </is>
      </c>
      <c r="D189" s="16" t="inlineStr">
        <is>
          <t>赛道深耕·高信念高波动型</t>
        </is>
      </c>
      <c r="E189" s="37" t="n">
        <v>1000</v>
      </c>
      <c r="F189" s="38" t="n">
        <v>45017</v>
      </c>
      <c r="G189" s="37" t="n">
        <v>2023</v>
      </c>
      <c r="H189" s="37" t="n">
        <v>1</v>
      </c>
      <c r="I189" s="19" t="n">
        <v>-0.0486049888345404</v>
      </c>
      <c r="J189" s="19" t="n">
        <v>-0.0511049888345404</v>
      </c>
      <c r="K189" s="19" t="n">
        <v>0.0275394459193409</v>
      </c>
      <c r="L189" s="19" t="n">
        <v>0.0450545884476575</v>
      </c>
      <c r="M189" s="37" t="n"/>
      <c r="N189" s="37" t="n"/>
      <c r="O189" s="37" t="n"/>
      <c r="P189" s="37" t="n"/>
      <c r="Q189" s="37" t="n">
        <v>406.461790955728</v>
      </c>
      <c r="R189" s="37" t="n"/>
      <c r="S189" s="19" t="n">
        <v>0.273855</v>
      </c>
      <c r="T189" s="19" t="n">
        <v>0.116314</v>
      </c>
      <c r="U189" s="19" t="n">
        <v>0.1411742717858824</v>
      </c>
      <c r="V189" s="19" t="n">
        <v>0.0132165910148171</v>
      </c>
      <c r="W189" s="37" t="n"/>
      <c r="X189" s="37" t="n">
        <v>0</v>
      </c>
      <c r="Y189" s="19" t="n">
        <v>0.0479071705586805</v>
      </c>
      <c r="Z189" s="19" t="n">
        <v>0.6976589637231364</v>
      </c>
      <c r="AA189" s="37" t="n">
        <v>2.104864005561097</v>
      </c>
      <c r="AB189" s="19" t="n">
        <v>-0.2226349218319716</v>
      </c>
      <c r="AC189" s="19" t="n">
        <v>-0.2667257153331558</v>
      </c>
      <c r="AD189" s="19" t="n">
        <v>-0.09713474820355091</v>
      </c>
      <c r="AE189" s="19" t="n">
        <v>0.1802891075888485</v>
      </c>
      <c r="AF189" s="19" t="n">
        <v>0.0801010298642163</v>
      </c>
      <c r="AG189" s="37" t="n">
        <v>19.21</v>
      </c>
      <c r="AH189" s="37" t="n">
        <v>2.955430976780465</v>
      </c>
      <c r="AI189" s="37" t="n">
        <v>1724</v>
      </c>
      <c r="AJ189" s="37" t="n">
        <v>2.100355778542166</v>
      </c>
    </row>
    <row r="190">
      <c r="A190" s="37" t="n">
        <v>1000</v>
      </c>
      <c r="B190" s="16" t="inlineStr">
        <is>
          <t>葛兰</t>
        </is>
      </c>
      <c r="C190" s="16" t="inlineStr">
        <is>
          <t>中欧明睿新起点混合</t>
        </is>
      </c>
      <c r="D190" s="16" t="inlineStr">
        <is>
          <t>赛道深耕·高信念高波动型</t>
        </is>
      </c>
      <c r="E190" s="37" t="n">
        <v>1000</v>
      </c>
      <c r="F190" s="38" t="n">
        <v>45108</v>
      </c>
      <c r="G190" s="37" t="n">
        <v>2023</v>
      </c>
      <c r="H190" s="37" t="n">
        <v>2</v>
      </c>
      <c r="I190" s="19" t="n">
        <v>-0.0475252806228012</v>
      </c>
      <c r="J190" s="19" t="n">
        <v>-0.0500252806228012</v>
      </c>
      <c r="K190" s="19" t="n">
        <v>0.0275394459193409</v>
      </c>
      <c r="L190" s="19" t="n">
        <v>0.0333878456401001</v>
      </c>
      <c r="M190" s="37" t="n">
        <v>12942.85</v>
      </c>
      <c r="N190" s="37" t="n">
        <v>14702.99</v>
      </c>
      <c r="O190" s="19" t="n">
        <v>0.7738095238095238</v>
      </c>
      <c r="P190" s="19" t="n">
        <v>0.9295774647887324</v>
      </c>
      <c r="Q190" s="37" t="n">
        <v>189.388234354768</v>
      </c>
      <c r="R190" s="19" t="n">
        <v>0.9775265881274704</v>
      </c>
      <c r="S190" s="19" t="n">
        <v>0.178417</v>
      </c>
      <c r="T190" s="19" t="n">
        <v>0.027677</v>
      </c>
      <c r="U190" s="19" t="n">
        <v>0.2889816030934968</v>
      </c>
      <c r="V190" s="19" t="n">
        <v>0.000204949442546</v>
      </c>
      <c r="W190" s="19" t="n">
        <v>-0.1557679409792085</v>
      </c>
      <c r="X190" s="37" t="n">
        <v>0</v>
      </c>
      <c r="Y190" s="37" t="n"/>
      <c r="Z190" s="19" t="n">
        <v>0.8474683860352</v>
      </c>
      <c r="AA190" s="37" t="n">
        <v>2.104864005561097</v>
      </c>
      <c r="AB190" s="19" t="n">
        <v>-0.1790826087637215</v>
      </c>
      <c r="AC190" s="19" t="n">
        <v>-0.1253564871017116</v>
      </c>
      <c r="AD190" s="19" t="n">
        <v>-0.0487022348071449</v>
      </c>
      <c r="AE190" s="19" t="n">
        <v>0.1007331738521361</v>
      </c>
      <c r="AF190" s="19" t="n">
        <v>0.0990296093663795</v>
      </c>
      <c r="AG190" s="37" t="n">
        <v>18</v>
      </c>
      <c r="AH190" s="37" t="n">
        <v>2.890371757896165</v>
      </c>
      <c r="AI190" s="37" t="n">
        <v>1815</v>
      </c>
      <c r="AJ190" s="37" t="n">
        <v>2.130395997459133</v>
      </c>
    </row>
    <row r="191">
      <c r="A191" s="37" t="n">
        <v>1000</v>
      </c>
      <c r="B191" s="16" t="inlineStr">
        <is>
          <t>葛兰</t>
        </is>
      </c>
      <c r="C191" s="16" t="inlineStr">
        <is>
          <t>中欧明睿新起点混合</t>
        </is>
      </c>
      <c r="D191" s="16" t="inlineStr">
        <is>
          <t>赛道深耕·高信念高波动型</t>
        </is>
      </c>
      <c r="E191" s="37" t="n">
        <v>1000</v>
      </c>
      <c r="F191" s="38" t="n">
        <v>45200</v>
      </c>
      <c r="G191" s="37" t="n">
        <v>2023</v>
      </c>
      <c r="H191" s="37" t="n">
        <v>3</v>
      </c>
      <c r="I191" s="19" t="n">
        <v>-0.1732141755570916</v>
      </c>
      <c r="J191" s="19" t="n">
        <v>-0.1757141755570916</v>
      </c>
      <c r="K191" s="19" t="n">
        <v>0.0275394459193409</v>
      </c>
      <c r="L191" s="19" t="n">
        <v>0.0590206274384001</v>
      </c>
      <c r="M191" s="37" t="n"/>
      <c r="N191" s="37" t="n"/>
      <c r="O191" s="37" t="n"/>
      <c r="P191" s="37" t="n"/>
      <c r="Q191" s="37" t="n">
        <v>189.388234354768</v>
      </c>
      <c r="R191" s="37" t="n"/>
      <c r="S191" s="19" t="n">
        <v>0.300032</v>
      </c>
      <c r="T191" s="19" t="n">
        <v>0.123848</v>
      </c>
      <c r="U191" s="37" t="n">
        <v>1.48366762752614</v>
      </c>
      <c r="V191" s="19" t="n">
        <v>0.1658118166342212</v>
      </c>
      <c r="W191" s="37" t="n"/>
      <c r="X191" s="37" t="n">
        <v>0</v>
      </c>
      <c r="Y191" s="37" t="n"/>
      <c r="Z191" s="19" t="n">
        <v>0.5984157430186764</v>
      </c>
      <c r="AA191" s="37" t="n">
        <v>2.104864005561097</v>
      </c>
      <c r="AB191" s="19" t="n">
        <v>-0.3047405321993147</v>
      </c>
      <c r="AC191" s="19" t="n">
        <v>-0.9100334633119238</v>
      </c>
      <c r="AD191" s="19" t="n">
        <v>-0.5972763829778237</v>
      </c>
      <c r="AE191" s="19" t="n">
        <v>0.1076356141486653</v>
      </c>
      <c r="AF191" s="19" t="n">
        <v>0.1168168130478066</v>
      </c>
      <c r="AG191" s="37" t="n">
        <v>14.32</v>
      </c>
      <c r="AH191" s="37" t="n">
        <v>2.6616571615325</v>
      </c>
      <c r="AI191" s="37" t="n">
        <v>1907</v>
      </c>
      <c r="AJ191" s="37" t="n">
        <v>2.159875863757154</v>
      </c>
    </row>
    <row r="192">
      <c r="A192" s="37" t="n">
        <v>1000</v>
      </c>
      <c r="B192" s="16" t="inlineStr">
        <is>
          <t>葛兰</t>
        </is>
      </c>
      <c r="C192" s="16" t="inlineStr">
        <is>
          <t>中欧明睿新起点混合</t>
        </is>
      </c>
      <c r="D192" s="16" t="inlineStr">
        <is>
          <t>赛道深耕·高信念高波动型</t>
        </is>
      </c>
      <c r="E192" s="37" t="n">
        <v>1000</v>
      </c>
      <c r="F192" s="38" t="n">
        <v>45292</v>
      </c>
      <c r="G192" s="37" t="n">
        <v>2023</v>
      </c>
      <c r="H192" s="37" t="n">
        <v>4</v>
      </c>
      <c r="I192" s="19" t="n">
        <v>-0.0722050507247186</v>
      </c>
      <c r="J192" s="19" t="n">
        <v>-0.0747050507247186</v>
      </c>
      <c r="K192" s="19" t="n">
        <v>0.0275394459193409</v>
      </c>
      <c r="L192" s="19" t="n">
        <v>0.0069734522842787</v>
      </c>
      <c r="M192" s="37" t="n">
        <v>8538.999999999998</v>
      </c>
      <c r="N192" s="37" t="n">
        <v>11423.04</v>
      </c>
      <c r="O192" s="19" t="n">
        <v>0.8181818181818182</v>
      </c>
      <c r="P192" s="19" t="n">
        <v>0.7899159663865546</v>
      </c>
      <c r="Q192" s="37" t="n">
        <v>124.652065190254</v>
      </c>
      <c r="R192" s="19" t="n">
        <v>0.8445165340792748</v>
      </c>
      <c r="S192" s="19" t="n">
        <v>0.198358</v>
      </c>
      <c r="T192" s="19" t="n">
        <v>0.049742</v>
      </c>
      <c r="U192" s="19" t="n">
        <v>0.5119501126722865</v>
      </c>
      <c r="V192" s="19" t="n">
        <v>0.7539489152063267</v>
      </c>
      <c r="W192" s="19" t="n">
        <v>0.0282658517952636</v>
      </c>
      <c r="X192" s="37" t="n">
        <v>0</v>
      </c>
      <c r="Y192" s="37" t="n"/>
      <c r="Z192" s="19" t="n">
        <v>0.6608218419589568</v>
      </c>
      <c r="AA192" s="37" t="n">
        <v>2.104864005561097</v>
      </c>
      <c r="AB192" s="19" t="n">
        <v>-0.3893476864050394</v>
      </c>
      <c r="AC192" s="37" t="n">
        <v>-1.148482182738442</v>
      </c>
      <c r="AD192" s="19" t="n">
        <v>-0.7258513614531189</v>
      </c>
      <c r="AE192" s="19" t="n">
        <v>0.1066293249939261</v>
      </c>
      <c r="AF192" s="19" t="n">
        <v>0.09640353353554069</v>
      </c>
      <c r="AG192" s="37" t="n">
        <v>12.78</v>
      </c>
      <c r="AH192" s="37" t="n">
        <v>2.547881448949389</v>
      </c>
      <c r="AI192" s="37" t="n">
        <v>1999</v>
      </c>
      <c r="AJ192" s="37" t="n">
        <v>2.188511496056076</v>
      </c>
    </row>
    <row r="193">
      <c r="A193" s="37" t="n">
        <v>1000</v>
      </c>
      <c r="B193" s="16" t="inlineStr">
        <is>
          <t>葛兰</t>
        </is>
      </c>
      <c r="C193" s="16" t="inlineStr">
        <is>
          <t>中欧明睿新起点混合</t>
        </is>
      </c>
      <c r="D193" s="16" t="inlineStr">
        <is>
          <t>赛道深耕·高信念高波动型</t>
        </is>
      </c>
      <c r="E193" s="37" t="n">
        <v>1000</v>
      </c>
      <c r="F193" s="38" t="n">
        <v>45383</v>
      </c>
      <c r="G193" s="37" t="n">
        <v>2024</v>
      </c>
      <c r="H193" s="37" t="n">
        <v>1</v>
      </c>
      <c r="I193" s="19" t="n">
        <v>-0.0628284328113385</v>
      </c>
      <c r="J193" s="19" t="n">
        <v>-0.0653284328113385</v>
      </c>
      <c r="K193" s="19" t="n">
        <v>0.0275394459193409</v>
      </c>
      <c r="L193" s="19" t="n">
        <v>0.0617701628720355</v>
      </c>
      <c r="M193" s="37" t="n"/>
      <c r="N193" s="37" t="n"/>
      <c r="O193" s="37" t="n"/>
      <c r="P193" s="37" t="n"/>
      <c r="Q193" s="37" t="n">
        <v>124.652065190254</v>
      </c>
      <c r="R193" s="37" t="n"/>
      <c r="S193" s="19" t="n">
        <v>0.138076</v>
      </c>
      <c r="T193" s="19" t="n">
        <v>0.116632</v>
      </c>
      <c r="U193" s="19" t="n">
        <v>0.5716881795387851</v>
      </c>
      <c r="V193" s="19" t="n">
        <v>0.5171754103637032</v>
      </c>
      <c r="W193" s="37" t="n"/>
      <c r="X193" s="37" t="n">
        <v>0</v>
      </c>
      <c r="Y193" s="37" t="n"/>
      <c r="Z193" s="19" t="n">
        <v>0.7926967274309565</v>
      </c>
      <c r="AA193" s="37" t="n">
        <v>2.104864005561097</v>
      </c>
      <c r="AB193" s="19" t="n">
        <v>-0.4058918840348656</v>
      </c>
      <c r="AC193" s="37" t="n">
        <v>-1.298529511230318</v>
      </c>
      <c r="AD193" s="19" t="n">
        <v>-0.7724369803665181</v>
      </c>
      <c r="AE193" s="19" t="n">
        <v>0.0997858802510717</v>
      </c>
      <c r="AF193" s="19" t="n">
        <v>0.0806030070046555</v>
      </c>
      <c r="AG193" s="37" t="n">
        <v>11.67</v>
      </c>
      <c r="AH193" s="37" t="n">
        <v>2.457021446298465</v>
      </c>
      <c r="AI193" s="37" t="n">
        <v>2090</v>
      </c>
      <c r="AJ193" s="37" t="n">
        <v>2.216051442037627</v>
      </c>
    </row>
    <row r="194">
      <c r="A194" s="37" t="n">
        <v>1000</v>
      </c>
      <c r="B194" s="16" t="inlineStr">
        <is>
          <t>葛兰</t>
        </is>
      </c>
      <c r="C194" s="16" t="inlineStr">
        <is>
          <t>中欧明睿新起点混合</t>
        </is>
      </c>
      <c r="D194" s="16" t="inlineStr">
        <is>
          <t>赛道深耕·高信念高波动型</t>
        </is>
      </c>
      <c r="E194" s="37" t="n">
        <v>1000</v>
      </c>
      <c r="F194" s="38" t="n">
        <v>45474</v>
      </c>
      <c r="G194" s="37" t="n">
        <v>2024</v>
      </c>
      <c r="H194" s="37" t="n">
        <v>2</v>
      </c>
      <c r="I194" s="19" t="n">
        <v>0.0217728947125177</v>
      </c>
      <c r="J194" s="19" t="n">
        <v>0.0192728947125177</v>
      </c>
      <c r="K194" s="19" t="n">
        <v>0.0275394459193409</v>
      </c>
      <c r="L194" s="19" t="n">
        <v>0.040503489769351</v>
      </c>
      <c r="M194" s="37" t="n">
        <v>2583.68</v>
      </c>
      <c r="N194" s="37" t="n">
        <v>10334.04</v>
      </c>
      <c r="O194" s="19" t="n">
        <v>0.5833333333333334</v>
      </c>
      <c r="P194" s="19" t="n">
        <v>0.935483870967742</v>
      </c>
      <c r="Q194" s="37" t="n">
        <v>120.099013114893</v>
      </c>
      <c r="R194" s="19" t="n">
        <v>0.9934537377988194</v>
      </c>
      <c r="S194" s="19" t="n">
        <v>0.130571</v>
      </c>
      <c r="T194" s="19" t="n">
        <v>0.057864</v>
      </c>
      <c r="U194" s="19" t="n">
        <v>0.3265268155232583</v>
      </c>
      <c r="V194" s="19" t="n">
        <v>0.3609931719089781</v>
      </c>
      <c r="W194" s="19" t="n">
        <v>-0.3521505376344085</v>
      </c>
      <c r="X194" s="37" t="n">
        <v>0</v>
      </c>
      <c r="Y194" s="37" t="n"/>
      <c r="Z194" s="19" t="n">
        <v>0.8056645830009475</v>
      </c>
      <c r="AA194" s="37" t="n">
        <v>2.104864005561097</v>
      </c>
      <c r="AB194" s="19" t="n">
        <v>-0.3384705931899519</v>
      </c>
      <c r="AC194" s="37" t="n">
        <v>-1.160702712441308</v>
      </c>
      <c r="AD194" s="19" t="n">
        <v>-0.6875016433694031</v>
      </c>
      <c r="AE194" s="19" t="n">
        <v>0.06868556829646</v>
      </c>
      <c r="AF194" s="19" t="n">
        <v>0.1573634144219584</v>
      </c>
      <c r="AG194" s="37" t="n">
        <v>11.62</v>
      </c>
      <c r="AH194" s="37" t="n">
        <v>2.452727751423765</v>
      </c>
      <c r="AI194" s="37" t="n">
        <v>2181</v>
      </c>
      <c r="AJ194" s="37" t="n">
        <v>2.242853223015995</v>
      </c>
    </row>
    <row r="195">
      <c r="A195" s="37" t="n">
        <v>1000</v>
      </c>
      <c r="B195" s="16" t="inlineStr">
        <is>
          <t>葛兰</t>
        </is>
      </c>
      <c r="C195" s="16" t="inlineStr">
        <is>
          <t>中欧明睿新起点混合</t>
        </is>
      </c>
      <c r="D195" s="16" t="inlineStr">
        <is>
          <t>赛道深耕·高信念高波动型</t>
        </is>
      </c>
      <c r="E195" s="37" t="n">
        <v>1000</v>
      </c>
      <c r="F195" s="38" t="n">
        <v>45566</v>
      </c>
      <c r="G195" s="37" t="n">
        <v>2024</v>
      </c>
      <c r="H195" s="37" t="n">
        <v>3</v>
      </c>
      <c r="I195" s="19" t="n">
        <v>0.1011154830360461</v>
      </c>
      <c r="J195" s="19" t="n">
        <v>0.0986154830360461</v>
      </c>
      <c r="K195" s="19" t="n">
        <v>0.0275394459193409</v>
      </c>
      <c r="L195" s="19" t="n">
        <v>0.0563110986300146</v>
      </c>
      <c r="M195" s="37" t="n"/>
      <c r="N195" s="37" t="n"/>
      <c r="O195" s="37" t="n"/>
      <c r="P195" s="37" t="n"/>
      <c r="Q195" s="37" t="n">
        <v>120.099013114893</v>
      </c>
      <c r="R195" s="37" t="n"/>
      <c r="S195" s="19" t="n">
        <v>0.308853</v>
      </c>
      <c r="T195" s="19" t="n">
        <v>0.115214</v>
      </c>
      <c r="U195" s="19" t="n">
        <v>0.4451813028131351</v>
      </c>
      <c r="V195" s="19" t="n">
        <v>0.0280708637095358</v>
      </c>
      <c r="W195" s="37" t="n"/>
      <c r="X195" s="37" t="n">
        <v>0</v>
      </c>
      <c r="Y195" s="19" t="n">
        <v>-0.0035290845957512</v>
      </c>
      <c r="Z195" s="19" t="n">
        <v>0.8693854407342757</v>
      </c>
      <c r="AA195" s="37" t="n">
        <v>2.104864005561097</v>
      </c>
      <c r="AB195" s="19" t="n">
        <v>-0.378135876736262</v>
      </c>
      <c r="AC195" s="37" t="n">
        <v>-1.411592290075242</v>
      </c>
      <c r="AD195" s="37" t="n">
        <v>-1.214816374902337</v>
      </c>
      <c r="AE195" s="19" t="n">
        <v>0.0796146828358263</v>
      </c>
      <c r="AF195" s="19" t="n">
        <v>0.1123112063320638</v>
      </c>
      <c r="AG195" s="37" t="n">
        <v>12.48</v>
      </c>
      <c r="AH195" s="37" t="n">
        <v>2.524127362941281</v>
      </c>
      <c r="AI195" s="37" t="n">
        <v>2273</v>
      </c>
      <c r="AJ195" s="37" t="n">
        <v>2.26923846457766</v>
      </c>
    </row>
    <row r="196">
      <c r="A196" s="37" t="n">
        <v>1000</v>
      </c>
      <c r="B196" s="16" t="inlineStr">
        <is>
          <t>葛兰</t>
        </is>
      </c>
      <c r="C196" s="16" t="inlineStr">
        <is>
          <t>中欧明睿新起点混合</t>
        </is>
      </c>
      <c r="D196" s="16" t="inlineStr">
        <is>
          <t>赛道深耕·高信念高波动型</t>
        </is>
      </c>
      <c r="E196" s="37" t="n">
        <v>1000</v>
      </c>
      <c r="F196" s="38" t="n">
        <v>45658</v>
      </c>
      <c r="G196" s="37" t="n">
        <v>2024</v>
      </c>
      <c r="H196" s="37" t="n">
        <v>4</v>
      </c>
      <c r="I196" s="19" t="n">
        <v>-0.0200679837649913</v>
      </c>
      <c r="J196" s="19" t="n">
        <v>-0.0225679837649913</v>
      </c>
      <c r="K196" s="19" t="n">
        <v>0.0275394459193409</v>
      </c>
      <c r="L196" s="19" t="n">
        <v>0.0583647340444624</v>
      </c>
      <c r="M196" s="37" t="n">
        <v>2648.62</v>
      </c>
      <c r="N196" s="37" t="n">
        <v>2264.03</v>
      </c>
      <c r="O196" s="19" t="n">
        <v>0.5208333333333334</v>
      </c>
      <c r="P196" s="19" t="n">
        <v>0.9047619047619048</v>
      </c>
      <c r="Q196" s="37" t="n">
        <v>186.613696864332</v>
      </c>
      <c r="R196" s="19" t="n">
        <v>0.8714899761755666</v>
      </c>
      <c r="S196" s="19" t="n">
        <v>0.319486</v>
      </c>
      <c r="T196" s="19" t="n">
        <v>0.066648</v>
      </c>
      <c r="U196" s="19" t="n">
        <v>0.0002142015636714</v>
      </c>
      <c r="V196" s="19" t="n">
        <v>0.0264964059660077</v>
      </c>
      <c r="W196" s="19" t="n">
        <v>-0.3839285714285714</v>
      </c>
      <c r="X196" s="37" t="n">
        <v>66.51468374943902</v>
      </c>
      <c r="Y196" s="19" t="n">
        <v>-0.0091021368573748</v>
      </c>
      <c r="Z196" s="19" t="n">
        <v>0.8530433899987229</v>
      </c>
      <c r="AA196" s="37" t="n">
        <v>2.104864005561097</v>
      </c>
      <c r="AB196" s="19" t="n">
        <v>-0.2292626440839117</v>
      </c>
      <c r="AC196" s="37" t="n">
        <v>-1.00479690597979</v>
      </c>
      <c r="AD196" s="19" t="n">
        <v>-0.5945396571015794</v>
      </c>
      <c r="AE196" s="19" t="n">
        <v>0.07887255723731131</v>
      </c>
      <c r="AF196" s="19" t="n">
        <v>0.1280521861542171</v>
      </c>
      <c r="AG196" s="37" t="n">
        <v>11.8</v>
      </c>
      <c r="AH196" s="37" t="n">
        <v>2.468099531471619</v>
      </c>
      <c r="AI196" s="37" t="n">
        <v>2365</v>
      </c>
      <c r="AJ196" s="37" t="n">
        <v>2.29494538450729</v>
      </c>
    </row>
    <row r="197">
      <c r="A197" s="37" t="n">
        <v>1000</v>
      </c>
      <c r="B197" s="16" t="inlineStr">
        <is>
          <t>葛兰</t>
        </is>
      </c>
      <c r="C197" s="16" t="inlineStr">
        <is>
          <t>中欧明睿新起点混合</t>
        </is>
      </c>
      <c r="D197" s="16" t="inlineStr">
        <is>
          <t>赛道深耕·高信念高波动型</t>
        </is>
      </c>
      <c r="E197" s="37" t="n">
        <v>1000</v>
      </c>
      <c r="F197" s="38" t="n">
        <v>45748</v>
      </c>
      <c r="G197" s="37" t="n">
        <v>2025</v>
      </c>
      <c r="H197" s="37" t="n">
        <v>1</v>
      </c>
      <c r="I197" s="19" t="n">
        <v>-0.0381274906218503</v>
      </c>
      <c r="J197" s="19" t="n">
        <v>-0.0406274906218503</v>
      </c>
      <c r="K197" s="19" t="n">
        <v>0.0275394459193409</v>
      </c>
      <c r="L197" s="19" t="n">
        <v>0.0310987028965483</v>
      </c>
      <c r="M197" s="37" t="n"/>
      <c r="N197" s="37" t="n"/>
      <c r="O197" s="37" t="n"/>
      <c r="P197" s="37" t="n"/>
      <c r="Q197" s="37" t="n">
        <v>186.613696864332</v>
      </c>
      <c r="R197" s="37" t="n"/>
      <c r="S197" s="19" t="n">
        <v>0.420067</v>
      </c>
      <c r="T197" s="19" t="n">
        <v>0.111068</v>
      </c>
      <c r="U197" s="19" t="n">
        <v>0.0002142015636714</v>
      </c>
      <c r="V197" s="19" t="n">
        <v>0.0485892774343839</v>
      </c>
      <c r="W197" s="37" t="n"/>
      <c r="X197" s="37" t="n">
        <v>0</v>
      </c>
      <c r="Y197" s="19" t="n">
        <v>-0.0100049968557547</v>
      </c>
      <c r="Z197" s="19" t="n">
        <v>0.9007668463224356</v>
      </c>
      <c r="AA197" s="37" t="n">
        <v>2.104864005561097</v>
      </c>
      <c r="AB197" s="19" t="n">
        <v>-0.1992969494275451</v>
      </c>
      <c r="AC197" s="19" t="n">
        <v>-0.7552450151148815</v>
      </c>
      <c r="AD197" s="19" t="n">
        <v>-0.5097733159465996</v>
      </c>
      <c r="AE197" s="19" t="n">
        <v>0.0787540389518149</v>
      </c>
      <c r="AF197" s="19" t="n">
        <v>0.1231614527968891</v>
      </c>
      <c r="AG197" s="37" t="n">
        <v>10.69</v>
      </c>
      <c r="AH197" s="37" t="n">
        <v>2.369308725036954</v>
      </c>
      <c r="AI197" s="37" t="n">
        <v>2455</v>
      </c>
      <c r="AJ197" s="37" t="n">
        <v>2.319469774370374</v>
      </c>
    </row>
    <row r="198">
      <c r="A198" s="37" t="n">
        <v>1000</v>
      </c>
      <c r="B198" s="16" t="inlineStr">
        <is>
          <t>葛兰</t>
        </is>
      </c>
      <c r="C198" s="16" t="inlineStr">
        <is>
          <t>中欧明睿新起点混合</t>
        </is>
      </c>
      <c r="D198" s="16" t="inlineStr">
        <is>
          <t>赛道深耕·高信念高波动型</t>
        </is>
      </c>
      <c r="E198" s="37" t="n">
        <v>1000</v>
      </c>
      <c r="F198" s="38" t="n">
        <v>45839</v>
      </c>
      <c r="G198" s="37" t="n">
        <v>2025</v>
      </c>
      <c r="H198" s="37" t="n">
        <v>2</v>
      </c>
      <c r="I198" s="19" t="n">
        <v>-0.0282055363831517</v>
      </c>
      <c r="J198" s="19" t="n">
        <v>-0.0307055363831517</v>
      </c>
      <c r="K198" s="19" t="n">
        <v>0.0275394459193409</v>
      </c>
      <c r="L198" s="19" t="n">
        <v>0.0386763854420364</v>
      </c>
      <c r="M198" s="37" t="n"/>
      <c r="N198" s="37" t="n"/>
      <c r="O198" s="19" t="n">
        <v>0.7872340425531915</v>
      </c>
      <c r="P198" s="19" t="n">
        <v>0.5</v>
      </c>
      <c r="Q198" s="37" t="n">
        <v>152.211633884506</v>
      </c>
      <c r="R198" s="37" t="n"/>
      <c r="S198" s="19" t="n">
        <v>0.25083</v>
      </c>
      <c r="T198" s="19" t="n">
        <v>0.059604</v>
      </c>
      <c r="U198" s="19" t="n">
        <v>0.6889983579638752</v>
      </c>
      <c r="V198" s="19" t="n">
        <v>0.07755331359476229</v>
      </c>
      <c r="W198" s="19" t="n">
        <v>0.2872340425531915</v>
      </c>
      <c r="X198" s="37" t="n">
        <v>0</v>
      </c>
      <c r="Y198" s="19" t="n">
        <v>-0.011898849160289</v>
      </c>
      <c r="Z198" s="19" t="n">
        <v>0.9242332371124232</v>
      </c>
      <c r="AA198" s="37" t="n">
        <v>2.104864005561097</v>
      </c>
      <c r="AB198" s="19" t="n">
        <v>-0.1938456473157545</v>
      </c>
      <c r="AC198" s="19" t="n">
        <v>-0.7167192436460695</v>
      </c>
      <c r="AD198" s="19" t="n">
        <v>-0.493915936334924</v>
      </c>
      <c r="AE198" s="19" t="n">
        <v>0.07866136201344009</v>
      </c>
      <c r="AF198" s="19" t="n">
        <v>0.08873348984668721</v>
      </c>
      <c r="AG198" s="37" t="n">
        <v>9.93</v>
      </c>
      <c r="AH198" s="37" t="n">
        <v>2.295560478057081</v>
      </c>
      <c r="AI198" s="37" t="n">
        <v>2546</v>
      </c>
      <c r="AJ198" s="37" t="n">
        <v>2.343669865074609</v>
      </c>
    </row>
    <row r="199">
      <c r="A199" s="37" t="n">
        <v>1000</v>
      </c>
      <c r="B199" s="16" t="inlineStr">
        <is>
          <t>葛兰</t>
        </is>
      </c>
      <c r="C199" s="16" t="inlineStr">
        <is>
          <t>中欧明睿新起点混合</t>
        </is>
      </c>
      <c r="D199" s="16" t="inlineStr">
        <is>
          <t>赛道深耕·高信念高波动型</t>
        </is>
      </c>
      <c r="E199" s="37" t="n">
        <v>1000</v>
      </c>
      <c r="F199" s="38" t="n">
        <v>45931</v>
      </c>
      <c r="G199" s="37" t="n">
        <v>2025</v>
      </c>
      <c r="H199" s="37" t="n">
        <v>3</v>
      </c>
      <c r="I199" s="19" t="n">
        <v>0.5909082731249831</v>
      </c>
      <c r="J199" s="19" t="n">
        <v>0.5884082731249831</v>
      </c>
      <c r="K199" s="19" t="n">
        <v>0.0275394459193409</v>
      </c>
      <c r="L199" s="19" t="n">
        <v>0.2212408699039503</v>
      </c>
      <c r="M199" s="37" t="n"/>
      <c r="N199" s="37" t="n"/>
      <c r="O199" s="37" t="n"/>
      <c r="P199" s="37" t="n"/>
      <c r="Q199" s="37" t="n">
        <v>152.211633884506</v>
      </c>
      <c r="R199" s="37" t="n"/>
      <c r="S199" s="19" t="n">
        <v>0.39644</v>
      </c>
      <c r="T199" s="19" t="n">
        <v>0.108182</v>
      </c>
      <c r="U199" s="19" t="n">
        <v>0.6889983579638752</v>
      </c>
      <c r="V199" s="19" t="n">
        <v>0.9079316100845874</v>
      </c>
      <c r="W199" s="37" t="n"/>
      <c r="X199" s="37" t="n">
        <v>0</v>
      </c>
      <c r="Y199" s="19" t="n">
        <v>0.2318452901272697</v>
      </c>
      <c r="Z199" s="19" t="n">
        <v>0.9778726497988188</v>
      </c>
      <c r="AA199" s="37" t="n">
        <v>2.104864005561097</v>
      </c>
      <c r="AB199" s="19" t="n">
        <v>-0.1839258282492107</v>
      </c>
      <c r="AC199" s="19" t="n">
        <v>-0.6475815409586188</v>
      </c>
      <c r="AD199" s="19" t="n">
        <v>-0.4637965474796273</v>
      </c>
      <c r="AE199" s="19" t="n">
        <v>0.2208735328107959</v>
      </c>
      <c r="AF199" s="19" t="n">
        <v>0.08717638100506039</v>
      </c>
      <c r="AG199" s="37" t="n">
        <v>14.33</v>
      </c>
      <c r="AH199" s="37" t="n">
        <v>2.662355241840081</v>
      </c>
      <c r="AI199" s="37" t="n">
        <v>2638</v>
      </c>
      <c r="AJ199" s="37" t="n">
        <v>2.367554697286021</v>
      </c>
    </row>
    <row r="200">
      <c r="A200" s="37" t="n">
        <v>1000</v>
      </c>
      <c r="B200" s="16" t="inlineStr">
        <is>
          <t>葛兰</t>
        </is>
      </c>
      <c r="C200" s="16" t="inlineStr">
        <is>
          <t>中欧明睿新起点混合</t>
        </is>
      </c>
      <c r="D200" s="16" t="inlineStr">
        <is>
          <t>赛道深耕·高信念高波动型</t>
        </is>
      </c>
      <c r="E200" s="37" t="n">
        <v>1000</v>
      </c>
      <c r="F200" s="38" t="n">
        <v>46023</v>
      </c>
      <c r="G200" s="37" t="n">
        <v>2025</v>
      </c>
      <c r="H200" s="37" t="n">
        <v>4</v>
      </c>
      <c r="I200" s="19" t="n">
        <v>0.008749096163640901</v>
      </c>
      <c r="J200" s="19" t="n">
        <v>0.0062490961636409</v>
      </c>
      <c r="K200" s="19" t="n">
        <v>0.0275394459193409</v>
      </c>
      <c r="L200" s="19" t="n">
        <v>0.059704051454382</v>
      </c>
      <c r="M200" s="37" t="n"/>
      <c r="N200" s="37" t="n"/>
      <c r="O200" s="19" t="n">
        <v>0.6111111111111112</v>
      </c>
      <c r="P200" s="19" t="n">
        <v>0.868421052631579</v>
      </c>
      <c r="Q200" s="37" t="n"/>
      <c r="R200" s="37" t="n"/>
      <c r="S200" s="19" t="n">
        <v>0.258897</v>
      </c>
      <c r="T200" s="19" t="n">
        <v>0.070246</v>
      </c>
      <c r="U200" s="19" t="n">
        <v>0.2611742223165941</v>
      </c>
      <c r="V200" s="19" t="n">
        <v>0.6170976633161862</v>
      </c>
      <c r="W200" s="19" t="n">
        <v>-0.2573099415204678</v>
      </c>
      <c r="X200" s="37" t="n"/>
      <c r="Y200" s="19" t="n">
        <v>0.223501825485533</v>
      </c>
      <c r="Z200" s="19" t="n">
        <v>0.938274728693036</v>
      </c>
      <c r="AA200" s="37" t="n">
        <v>2.104864005561097</v>
      </c>
      <c r="AB200" s="19" t="n">
        <v>0.0771042480137111</v>
      </c>
      <c r="AC200" s="37" t="n">
        <v>2.636425055591836</v>
      </c>
      <c r="AD200" s="19" t="n">
        <v>0.2673709440213964</v>
      </c>
      <c r="AE200" s="19" t="n">
        <v>0.2156751951356222</v>
      </c>
      <c r="AF200" s="19" t="n">
        <v>0.088694294176399</v>
      </c>
      <c r="AG200" s="37" t="n">
        <v>13.31</v>
      </c>
      <c r="AH200" s="37" t="n">
        <v>2.58851563240702</v>
      </c>
      <c r="AI200" s="37" t="n">
        <v>2730</v>
      </c>
      <c r="AJ200" s="37" t="n">
        <v>2.390882327102424</v>
      </c>
    </row>
    <row r="201">
      <c r="A201" s="37" t="n">
        <v>1000</v>
      </c>
      <c r="B201" s="16" t="inlineStr">
        <is>
          <t>葛兰</t>
        </is>
      </c>
      <c r="C201" s="16" t="inlineStr">
        <is>
          <t>中欧明睿新起点混合</t>
        </is>
      </c>
      <c r="D201" s="16" t="inlineStr">
        <is>
          <t>赛道深耕·高信念高波动型</t>
        </is>
      </c>
      <c r="E201" s="37" t="n">
        <v>1000</v>
      </c>
      <c r="F201" s="38" t="n">
        <v>46113</v>
      </c>
      <c r="G201" s="37" t="n">
        <v>2026</v>
      </c>
      <c r="H201" s="37" t="n">
        <v>1</v>
      </c>
      <c r="I201" s="19" t="n">
        <v>-0.0668629486350784</v>
      </c>
      <c r="J201" s="19" t="n">
        <v>-0.0693629486350784</v>
      </c>
      <c r="K201" s="19" t="n">
        <v>0.0275394459193409</v>
      </c>
      <c r="L201" s="19" t="n">
        <v>0.0503888336239644</v>
      </c>
      <c r="M201" s="37" t="n"/>
      <c r="N201" s="37" t="n"/>
      <c r="O201" s="37" t="n"/>
      <c r="P201" s="37" t="n"/>
      <c r="Q201" s="37" t="n"/>
      <c r="R201" s="37" t="n"/>
      <c r="S201" s="19" t="n">
        <v>0.278798</v>
      </c>
      <c r="T201" s="19" t="n">
        <v>0.116225</v>
      </c>
      <c r="U201" s="19" t="n">
        <v>0.1370085369494233</v>
      </c>
      <c r="V201" s="37" t="n">
        <v>0</v>
      </c>
      <c r="W201" s="37" t="n"/>
      <c r="X201" s="37" t="n"/>
      <c r="Y201" s="19" t="n">
        <v>0.2218143352571378</v>
      </c>
      <c r="Z201" s="19" t="n">
        <v>0.8699887644915362</v>
      </c>
      <c r="AA201" s="37" t="n">
        <v>2.104864005561097</v>
      </c>
      <c r="AB201" s="19" t="n">
        <v>0.124394569319243</v>
      </c>
      <c r="AC201" s="37" t="n">
        <v>3.72903501442693</v>
      </c>
      <c r="AD201" s="19" t="n">
        <v>0.3207623376566675</v>
      </c>
      <c r="AE201" s="19" t="n">
        <v>0.2160563835684064</v>
      </c>
      <c r="AF201" s="19" t="n">
        <v>0.1366256479715399</v>
      </c>
      <c r="AG201" s="37" t="n">
        <v>10.92</v>
      </c>
      <c r="AH201" s="37" t="n">
        <v>2.390595970316759</v>
      </c>
      <c r="AI201" s="37" t="n">
        <v>2820</v>
      </c>
      <c r="AJ201" s="37" t="n">
        <v>2.413188084616722</v>
      </c>
    </row>
    <row r="202">
      <c r="A202" s="37" t="n">
        <v>1000</v>
      </c>
      <c r="B202" s="16" t="inlineStr">
        <is>
          <t>葛兰</t>
        </is>
      </c>
      <c r="C202" s="16" t="inlineStr">
        <is>
          <t>中欧明睿新起点混合</t>
        </is>
      </c>
      <c r="D202" s="16" t="inlineStr">
        <is>
          <t>赛道深耕·高信念高波动型</t>
        </is>
      </c>
      <c r="E202" s="37" t="n">
        <v>1000</v>
      </c>
      <c r="F202" s="38" t="n">
        <v>46204</v>
      </c>
      <c r="G202" s="37" t="n">
        <v>2026</v>
      </c>
      <c r="H202" s="37" t="n">
        <v>2</v>
      </c>
      <c r="I202" s="19" t="n">
        <v>0.5811373861807605</v>
      </c>
      <c r="J202" s="37" t="n"/>
      <c r="K202" s="19" t="n">
        <v>0.0275394459193409</v>
      </c>
      <c r="L202" s="19" t="n">
        <v>0.1083640490429302</v>
      </c>
      <c r="M202" s="37" t="n"/>
      <c r="N202" s="37" t="n"/>
      <c r="O202" s="19" t="n">
        <v>0.8541666666666666</v>
      </c>
      <c r="P202" s="37" t="n">
        <v>1</v>
      </c>
      <c r="Q202" s="37" t="n"/>
      <c r="R202" s="37" t="n"/>
      <c r="S202" s="19" t="n">
        <v>0.269709</v>
      </c>
      <c r="T202" s="19" t="n">
        <v>0.107222</v>
      </c>
      <c r="U202" s="19" t="n">
        <v>0.07638991299218401</v>
      </c>
      <c r="V202" s="37" t="n">
        <v>0</v>
      </c>
      <c r="W202" s="19" t="n">
        <v>-0.1458333333333333</v>
      </c>
      <c r="X202" s="37" t="n"/>
      <c r="Y202" s="19" t="n">
        <v>0.2498327044619384</v>
      </c>
      <c r="Z202" s="19" t="n">
        <v>0.986108295131718</v>
      </c>
      <c r="AA202" s="37" t="n">
        <v>2.104864005561097</v>
      </c>
      <c r="AB202" s="19" t="n">
        <v>0.1217581768839401</v>
      </c>
      <c r="AC202" s="37" t="n">
        <v>3.363414315459258</v>
      </c>
      <c r="AD202" s="19" t="n">
        <v>0.3178870030023107</v>
      </c>
      <c r="AE202" s="19" t="n">
        <v>0.2790865618940791</v>
      </c>
      <c r="AF202" s="19" t="n">
        <v>0.0846702779708776</v>
      </c>
      <c r="AG202" s="37" t="n">
        <v>13.7</v>
      </c>
      <c r="AH202" s="37" t="n">
        <v>2.617395832834079</v>
      </c>
      <c r="AI202" s="37" t="n">
        <v>64</v>
      </c>
      <c r="AJ202" s="37" t="n">
        <v>2.43524691141546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指标代码</t>
        </is>
      </c>
      <c r="B1" s="10" t="inlineStr">
        <is>
          <t>指标中文名称</t>
        </is>
      </c>
      <c r="C1" s="10" t="inlineStr">
        <is>
          <t>所属能力维度</t>
        </is>
      </c>
      <c r="D1" s="10" t="inlineStr">
        <is>
          <t>理论符号方向</t>
        </is>
      </c>
      <c r="E1" s="10" t="inlineStr">
        <is>
          <t>样本量N</t>
        </is>
      </c>
      <c r="F1" s="10" t="inlineStr">
        <is>
          <t>基准均值(μ)</t>
        </is>
      </c>
      <c r="G1" s="10" t="inlineStr">
        <is>
          <t>基准标准差(σ)</t>
        </is>
      </c>
      <c r="H1" s="10" t="inlineStr">
        <is>
          <t>最小值(Min)</t>
        </is>
      </c>
      <c r="I1" s="10" t="inlineStr">
        <is>
          <t>25%分位数</t>
        </is>
      </c>
      <c r="J1" s="10" t="inlineStr">
        <is>
          <t>中位数(Median)</t>
        </is>
      </c>
      <c r="K1" s="10" t="inlineStr">
        <is>
          <t>75%分位数</t>
        </is>
      </c>
      <c r="L1" s="10" t="inlineStr">
        <is>
          <t>最大值(Max)</t>
        </is>
      </c>
    </row>
    <row r="2">
      <c r="A2" s="16" t="inlineStr">
        <is>
          <t>mgr_total_tenure_v2</t>
        </is>
      </c>
      <c r="B2" s="16" t="inlineStr">
        <is>
          <t>任职天数</t>
        </is>
      </c>
      <c r="C2" s="16" t="inlineStr">
        <is>
          <t>背景条件</t>
        </is>
      </c>
      <c r="D2" s="17" t="n">
        <v>-1</v>
      </c>
      <c r="E2" s="17" t="n">
        <v>400</v>
      </c>
      <c r="F2" s="19" t="n">
        <v>1051.375425134217</v>
      </c>
      <c r="G2" s="19" t="n">
        <v>833.2807707055915</v>
      </c>
      <c r="H2" s="19" t="n">
        <v>133.7142857142857</v>
      </c>
      <c r="I2" s="19" t="n">
        <v>535.7225935828877</v>
      </c>
      <c r="J2" s="19" t="n">
        <v>821.7327586206897</v>
      </c>
      <c r="K2" s="19" t="n">
        <v>1239.346153846154</v>
      </c>
      <c r="L2" s="19" t="n">
        <v>4977.346153846154</v>
      </c>
    </row>
    <row r="3">
      <c r="A3" s="16" t="inlineStr">
        <is>
          <t>log_fund_age</t>
        </is>
      </c>
      <c r="B3" s="16" t="inlineStr">
        <is>
          <t>基金年龄(log)</t>
        </is>
      </c>
      <c r="C3" s="16" t="inlineStr">
        <is>
          <t>背景条件</t>
        </is>
      </c>
      <c r="D3" s="17" t="n">
        <v>-1</v>
      </c>
      <c r="E3" s="17" t="n">
        <v>400</v>
      </c>
      <c r="F3" s="19" t="n">
        <v>1.389808856552507</v>
      </c>
      <c r="G3" s="19" t="n">
        <v>1.014811525781232</v>
      </c>
      <c r="H3" s="19" t="n">
        <v>-0.6721704032261736</v>
      </c>
      <c r="I3" s="19" t="n">
        <v>0.605015648429427</v>
      </c>
      <c r="J3" s="19" t="n">
        <v>1.338648081861813</v>
      </c>
      <c r="K3" s="19" t="n">
        <v>2.394454726207178</v>
      </c>
      <c r="L3" s="19" t="n">
        <v>3.071235278134492</v>
      </c>
    </row>
    <row r="4">
      <c r="A4" s="16" t="inlineStr">
        <is>
          <t>log_aum</t>
        </is>
      </c>
      <c r="B4" s="16" t="inlineStr">
        <is>
          <t>资产规模(log)</t>
        </is>
      </c>
      <c r="C4" s="16" t="inlineStr">
        <is>
          <t>背景条件</t>
        </is>
      </c>
      <c r="D4" s="17" t="n">
        <v>-1</v>
      </c>
      <c r="E4" s="17" t="n">
        <v>400</v>
      </c>
      <c r="F4" s="19" t="n">
        <v>1.620565962726516</v>
      </c>
      <c r="G4" s="19" t="n">
        <v>1.236524693320026</v>
      </c>
      <c r="H4" s="19" t="n">
        <v>0</v>
      </c>
      <c r="I4" s="19" t="n">
        <v>0.5818551423313063</v>
      </c>
      <c r="J4" s="19" t="n">
        <v>1.498003390001781</v>
      </c>
      <c r="K4" s="19" t="n">
        <v>2.493011527810639</v>
      </c>
      <c r="L4" s="19" t="n">
        <v>5.512623586230506</v>
      </c>
    </row>
    <row r="5">
      <c r="A5" s="16" t="inlineStr">
        <is>
          <t>risk_asym</t>
        </is>
      </c>
      <c r="B5" s="16" t="inlineStr">
        <is>
          <t>风险不对称</t>
        </is>
      </c>
      <c r="C5" s="16" t="inlineStr">
        <is>
          <t>认知质量</t>
        </is>
      </c>
      <c r="D5" s="17" t="n">
        <v>1</v>
      </c>
      <c r="E5" s="17" t="n">
        <v>386</v>
      </c>
      <c r="F5" s="19" t="n">
        <v>0.04476315472898527</v>
      </c>
      <c r="G5" s="19" t="n">
        <v>0.05272548102321961</v>
      </c>
      <c r="H5" s="19" t="n">
        <v>-0.0410338141096085</v>
      </c>
      <c r="I5" s="19" t="n">
        <v>0.01601794511756525</v>
      </c>
      <c r="J5" s="19" t="n">
        <v>0.03179512664886305</v>
      </c>
      <c r="K5" s="19" t="n">
        <v>0.05669811966951432</v>
      </c>
      <c r="L5" s="19" t="n">
        <v>0.342950371086015</v>
      </c>
    </row>
    <row r="6">
      <c r="A6" s="16" t="inlineStr">
        <is>
          <t>de</t>
        </is>
      </c>
      <c r="B6" s="16" t="inlineStr">
        <is>
          <t>处置效应</t>
        </is>
      </c>
      <c r="C6" s="16" t="inlineStr">
        <is>
          <t>认知质量</t>
        </is>
      </c>
      <c r="D6" s="17" t="n">
        <v>-1</v>
      </c>
      <c r="E6" s="17" t="n">
        <v>399</v>
      </c>
      <c r="F6" s="19" t="n">
        <v>-0.1336935571328033</v>
      </c>
      <c r="G6" s="19" t="n">
        <v>0.07477772286481592</v>
      </c>
      <c r="H6" s="19" t="n">
        <v>-0.4522312250677431</v>
      </c>
      <c r="I6" s="19" t="n">
        <v>-0.1691089315951111</v>
      </c>
      <c r="J6" s="19" t="n">
        <v>-0.1273304866127133</v>
      </c>
      <c r="K6" s="19" t="n">
        <v>-0.08675365947279165</v>
      </c>
      <c r="L6" s="19" t="n">
        <v>0.0854166666666666</v>
      </c>
    </row>
    <row r="7">
      <c r="A7" s="16" t="inlineStr">
        <is>
          <t>oc_conf</t>
        </is>
      </c>
      <c r="B7" s="16" t="inlineStr">
        <is>
          <t>过度自信</t>
        </is>
      </c>
      <c r="C7" s="16" t="inlineStr">
        <is>
          <t>认知质量</t>
        </is>
      </c>
      <c r="D7" s="17" t="n">
        <v>-1</v>
      </c>
      <c r="E7" s="17" t="n">
        <v>394</v>
      </c>
      <c r="F7" s="19" t="n">
        <v>-3.071291613122034</v>
      </c>
      <c r="G7" s="19" t="n">
        <v>23.31847827084677</v>
      </c>
      <c r="H7" s="19" t="n">
        <v>-248.9307219070592</v>
      </c>
      <c r="I7" s="19" t="n">
        <v>-6.929944410021548</v>
      </c>
      <c r="J7" s="19" t="n">
        <v>-0.9735946868737186</v>
      </c>
      <c r="K7" s="19" t="n">
        <v>4.120990111582463</v>
      </c>
      <c r="L7" s="19" t="n">
        <v>74.41200120930017</v>
      </c>
    </row>
    <row r="8">
      <c r="A8" s="16" t="inlineStr">
        <is>
          <t>anchor_high</t>
        </is>
      </c>
      <c r="B8" s="16" t="inlineStr">
        <is>
          <t>高位锚定</t>
        </is>
      </c>
      <c r="C8" s="16" t="inlineStr">
        <is>
          <t>认知质量</t>
        </is>
      </c>
      <c r="D8" s="17" t="n">
        <v>1</v>
      </c>
      <c r="E8" s="17" t="n">
        <v>400</v>
      </c>
      <c r="F8" s="19" t="n">
        <v>0.8393714639581495</v>
      </c>
      <c r="G8" s="19" t="n">
        <v>0.0492745470124455</v>
      </c>
      <c r="H8" s="19" t="n">
        <v>0.6494467587909468</v>
      </c>
      <c r="I8" s="19" t="n">
        <v>0.8086699695511426</v>
      </c>
      <c r="J8" s="19" t="n">
        <v>0.8409912821350678</v>
      </c>
      <c r="K8" s="19" t="n">
        <v>0.8681642755427887</v>
      </c>
      <c r="L8" s="19" t="n">
        <v>1.110594063683179</v>
      </c>
    </row>
    <row r="9">
      <c r="A9" s="16" t="inlineStr">
        <is>
          <t>ICI</t>
        </is>
      </c>
      <c r="B9" s="16" t="inlineStr">
        <is>
          <t>行业集中度</t>
        </is>
      </c>
      <c r="C9" s="16" t="inlineStr">
        <is>
          <t>配置能力</t>
        </is>
      </c>
      <c r="D9" s="17" t="n">
        <v>1</v>
      </c>
      <c r="E9" s="17" t="n">
        <v>400</v>
      </c>
      <c r="F9" s="19" t="n">
        <v>0.2897150806623888</v>
      </c>
      <c r="G9" s="19" t="n">
        <v>0.1573633727809004</v>
      </c>
      <c r="H9" s="19" t="n">
        <v>0.08862284615384609</v>
      </c>
      <c r="I9" s="19" t="n">
        <v>0.1859896332082551</v>
      </c>
      <c r="J9" s="19" t="n">
        <v>0.2508028379120879</v>
      </c>
      <c r="K9" s="19" t="n">
        <v>0.3473022019230769</v>
      </c>
      <c r="L9" s="19" t="n">
        <v>0.87084225</v>
      </c>
    </row>
    <row r="10">
      <c r="A10" s="16" t="inlineStr">
        <is>
          <t>ISDI</t>
        </is>
      </c>
      <c r="B10" s="16" t="inlineStr">
        <is>
          <t>行业风格漂移</t>
        </is>
      </c>
      <c r="C10" s="16" t="inlineStr">
        <is>
          <t>配置能力</t>
        </is>
      </c>
      <c r="D10" s="17" t="n">
        <v>-1</v>
      </c>
      <c r="E10" s="17" t="n">
        <v>400</v>
      </c>
      <c r="F10" s="19" t="n">
        <v>0.2401881346067962</v>
      </c>
      <c r="G10" s="19" t="n">
        <v>0.1289379827231034</v>
      </c>
      <c r="H10" s="19" t="n">
        <v>0</v>
      </c>
      <c r="I10" s="19" t="n">
        <v>0.1423863372605779</v>
      </c>
      <c r="J10" s="19" t="n">
        <v>0.2492791768930502</v>
      </c>
      <c r="K10" s="19" t="n">
        <v>0.3284717762390069</v>
      </c>
      <c r="L10" s="19" t="n">
        <v>0.6812753754452137</v>
      </c>
    </row>
    <row r="11">
      <c r="A11" s="16" t="inlineStr">
        <is>
          <t>ARG</t>
        </is>
      </c>
      <c r="B11" s="16" t="inlineStr">
        <is>
          <t>调仓敏锐度</t>
        </is>
      </c>
      <c r="C11" s="16" t="inlineStr">
        <is>
          <t>操作质量</t>
        </is>
      </c>
      <c r="D11" s="17" t="n">
        <v>1</v>
      </c>
      <c r="E11" s="17" t="n">
        <v>400</v>
      </c>
      <c r="F11" s="19" t="n">
        <v>0.1648965791283002</v>
      </c>
      <c r="G11" s="19" t="n">
        <v>0.1120977714363271</v>
      </c>
      <c r="H11" s="19" t="n">
        <v>0.0255232189634779</v>
      </c>
      <c r="I11" s="19" t="n">
        <v>0.06505273253170685</v>
      </c>
      <c r="J11" s="19" t="n">
        <v>0.1346396866962863</v>
      </c>
      <c r="K11" s="19" t="n">
        <v>0.2403574035348205</v>
      </c>
      <c r="L11" s="19" t="n">
        <v>0.4761362141898436</v>
      </c>
    </row>
    <row r="12">
      <c r="A12" s="16" t="inlineStr">
        <is>
          <t>timing</t>
        </is>
      </c>
      <c r="B12" s="16" t="inlineStr">
        <is>
          <t>择时能力</t>
        </is>
      </c>
      <c r="C12" s="16" t="inlineStr">
        <is>
          <t>操作质量</t>
        </is>
      </c>
      <c r="D12" s="17" t="n">
        <v>1</v>
      </c>
      <c r="E12" s="17" t="n">
        <v>355</v>
      </c>
      <c r="F12" s="19" t="n">
        <v>0.9119455490808339</v>
      </c>
      <c r="G12" s="19" t="n">
        <v>0.7785465383544651</v>
      </c>
      <c r="H12" s="19" t="n">
        <v>-2.493497124824851</v>
      </c>
      <c r="I12" s="19" t="n">
        <v>0.4405734733334274</v>
      </c>
      <c r="J12" s="19" t="n">
        <v>0.903162814689506</v>
      </c>
      <c r="K12" s="19" t="n">
        <v>1.376778316980243</v>
      </c>
      <c r="L12" s="19" t="n">
        <v>3.683205710613671</v>
      </c>
    </row>
    <row r="13">
      <c r="A13" s="16" t="inlineStr">
        <is>
          <t>mppm8_lag</t>
        </is>
      </c>
      <c r="B13" s="16" t="inlineStr">
        <is>
          <t>抗操纵绩效</t>
        </is>
      </c>
      <c r="C13" s="16" t="inlineStr">
        <is>
          <t>风险转化效率</t>
        </is>
      </c>
      <c r="D13" s="17" t="n">
        <v>1</v>
      </c>
      <c r="E13" s="17" t="n">
        <v>394</v>
      </c>
      <c r="F13" s="19" t="n">
        <v>0.02687330977701399</v>
      </c>
      <c r="G13" s="19" t="n">
        <v>0.1094847537678647</v>
      </c>
      <c r="H13" s="19" t="n">
        <v>-0.1917452957931907</v>
      </c>
      <c r="I13" s="19" t="n">
        <v>-0.02870999132139777</v>
      </c>
      <c r="J13" s="19" t="n">
        <v>0.01980542220510275</v>
      </c>
      <c r="K13" s="19" t="n">
        <v>0.05535385934289362</v>
      </c>
      <c r="L13" s="19" t="n">
        <v>0.8673223962475439</v>
      </c>
    </row>
    <row r="14">
      <c r="A14" s="16" t="inlineStr">
        <is>
          <t>sortino8_lag</t>
        </is>
      </c>
      <c r="B14" s="16" t="inlineStr">
        <is>
          <t>索提诺比率</t>
        </is>
      </c>
      <c r="C14" s="16" t="inlineStr">
        <is>
          <t>风险转化效率</t>
        </is>
      </c>
      <c r="D14" s="17" t="n">
        <v>1</v>
      </c>
      <c r="E14" s="17" t="n">
        <v>371</v>
      </c>
      <c r="F14" s="19" t="n">
        <v>0.2456646106155116</v>
      </c>
      <c r="G14" s="19" t="n">
        <v>0.7892205803490718</v>
      </c>
      <c r="H14" s="19" t="n">
        <v>-0.638109205099157</v>
      </c>
      <c r="I14" s="19" t="n">
        <v>-0.1197689859962654</v>
      </c>
      <c r="J14" s="19" t="n">
        <v>0.09508284512713951</v>
      </c>
      <c r="K14" s="19" t="n">
        <v>0.3599999000037345</v>
      </c>
      <c r="L14" s="19" t="n">
        <v>5.85615194741801</v>
      </c>
    </row>
    <row r="15">
      <c r="A15" s="16" t="inlineStr">
        <is>
          <t>sharpe8_lag</t>
        </is>
      </c>
      <c r="B15" s="16" t="inlineStr">
        <is>
          <t>夏普比率</t>
        </is>
      </c>
      <c r="C15" s="16" t="inlineStr">
        <is>
          <t>风险转化效率</t>
        </is>
      </c>
      <c r="D15" s="17" t="n">
        <v>1</v>
      </c>
      <c r="E15" s="17" t="n">
        <v>394</v>
      </c>
      <c r="F15" s="19" t="n">
        <v>0.132964863971625</v>
      </c>
      <c r="G15" s="19" t="n">
        <v>0.2172227985540201</v>
      </c>
      <c r="H15" s="19" t="n">
        <v>-0.5847628038156755</v>
      </c>
      <c r="I15" s="19" t="n">
        <v>0.01518557913733713</v>
      </c>
      <c r="J15" s="19" t="n">
        <v>0.1289469102715499</v>
      </c>
      <c r="K15" s="19" t="n">
        <v>0.2421194524108925</v>
      </c>
      <c r="L15" s="19" t="n">
        <v>0.8664807535471288</v>
      </c>
    </row>
    <row r="16">
      <c r="A16" s="16" t="inlineStr">
        <is>
          <t>SDI</t>
        </is>
      </c>
      <c r="B16" s="16" t="inlineStr">
        <is>
          <t>风格离散度</t>
        </is>
      </c>
      <c r="C16" s="16" t="inlineStr">
        <is>
          <t>交易特征</t>
        </is>
      </c>
      <c r="D16" s="17" t="n">
        <v>-1</v>
      </c>
      <c r="E16" s="17" t="n">
        <v>366</v>
      </c>
      <c r="F16" s="19" t="n">
        <v>0.2336889253272177</v>
      </c>
      <c r="G16" s="19" t="n">
        <v>0.230043322459728</v>
      </c>
      <c r="H16" s="19" t="n">
        <v>0</v>
      </c>
      <c r="I16" s="19" t="n">
        <v>0</v>
      </c>
      <c r="J16" s="19" t="n">
        <v>0.2820067741492053</v>
      </c>
      <c r="K16" s="19" t="n">
        <v>0.4308626455435363</v>
      </c>
      <c r="L16" s="19" t="n">
        <v>0.8199218616036728</v>
      </c>
    </row>
    <row r="17">
      <c r="A17" s="16" t="inlineStr">
        <is>
          <t>lsv</t>
        </is>
      </c>
      <c r="B17" s="16" t="inlineStr">
        <is>
          <t>共识交易度</t>
        </is>
      </c>
      <c r="C17" s="16" t="inlineStr">
        <is>
          <t>交易特征</t>
        </is>
      </c>
      <c r="D17" s="17" t="n">
        <v>1</v>
      </c>
      <c r="E17" s="17" t="n">
        <v>400</v>
      </c>
      <c r="F17" s="19" t="n">
        <v>0.0909449132729938</v>
      </c>
      <c r="G17" s="19" t="n">
        <v>0.01910295539708167</v>
      </c>
      <c r="H17" s="19" t="n">
        <v>-0.0030010708442085</v>
      </c>
      <c r="I17" s="19" t="n">
        <v>0.0786260042501522</v>
      </c>
      <c r="J17" s="19" t="n">
        <v>0.08961884545430415</v>
      </c>
      <c r="K17" s="19" t="n">
        <v>0.1019051406083424</v>
      </c>
      <c r="L17" s="19" t="n">
        <v>0.1622218093796831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year</t>
        </is>
      </c>
      <c r="B1" s="10" t="inlineStr">
        <is>
          <t>berkshire_return_pct</t>
        </is>
      </c>
      <c r="C1" s="10" t="inlineStr">
        <is>
          <t>sp500_return_pct</t>
        </is>
      </c>
      <c r="D1" s="10" t="inlineStr">
        <is>
          <t>outperformance_pct</t>
        </is>
      </c>
      <c r="E1" s="10" t="inlineStr">
        <is>
          <t>berkshire_cum_multiplier</t>
        </is>
      </c>
      <c r="F1" s="10" t="inlineStr">
        <is>
          <t>sp500_cum_multiplier</t>
        </is>
      </c>
      <c r="G1" s="10" t="inlineStr">
        <is>
          <t>berkshire_growth_of_10k_usd</t>
        </is>
      </c>
      <c r="H1" s="10" t="inlineStr">
        <is>
          <t>sp500_growth_of_10k_usd</t>
        </is>
      </c>
    </row>
    <row r="2">
      <c r="A2" s="17" t="n">
        <v>1965</v>
      </c>
      <c r="B2" s="39" t="n">
        <v>49.5</v>
      </c>
      <c r="C2" s="39" t="n">
        <v>10</v>
      </c>
      <c r="D2" s="39" t="n">
        <v>39.5</v>
      </c>
      <c r="E2" s="40" t="n">
        <v>1.495</v>
      </c>
      <c r="F2" s="40" t="n">
        <v>1.1</v>
      </c>
      <c r="G2" s="17" t="n">
        <v>14950</v>
      </c>
      <c r="H2" s="17" t="n">
        <v>11000</v>
      </c>
    </row>
    <row r="3">
      <c r="A3" s="17" t="n">
        <v>1966</v>
      </c>
      <c r="B3" s="39" t="n">
        <v>-3.4</v>
      </c>
      <c r="C3" s="39" t="n">
        <v>-11.7</v>
      </c>
      <c r="D3" s="39" t="n">
        <v>8.300000000000001</v>
      </c>
      <c r="E3" s="40" t="n">
        <v>1.44417</v>
      </c>
      <c r="F3" s="40" t="n">
        <v>0.9713000000000001</v>
      </c>
      <c r="G3" s="17" t="n">
        <v>14441.7</v>
      </c>
      <c r="H3" s="17" t="n">
        <v>9713</v>
      </c>
    </row>
    <row r="4">
      <c r="A4" s="17" t="n">
        <v>1967</v>
      </c>
      <c r="B4" s="39" t="n">
        <v>13.3</v>
      </c>
      <c r="C4" s="39" t="n">
        <v>30.9</v>
      </c>
      <c r="D4" s="39" t="n">
        <v>-17.6</v>
      </c>
      <c r="E4" s="40" t="n">
        <v>1.63624461</v>
      </c>
      <c r="F4" s="40" t="n">
        <v>1.2714317</v>
      </c>
      <c r="G4" s="17" t="n">
        <v>16362.45</v>
      </c>
      <c r="H4" s="17" t="n">
        <v>12714.32</v>
      </c>
    </row>
    <row r="5">
      <c r="A5" s="17" t="n">
        <v>1968</v>
      </c>
      <c r="B5" s="39" t="n">
        <v>77.8</v>
      </c>
      <c r="C5" s="39" t="n">
        <v>11</v>
      </c>
      <c r="D5" s="39" t="n">
        <v>66.8</v>
      </c>
      <c r="E5" s="40" t="n">
        <v>2.90924291658</v>
      </c>
      <c r="F5" s="40" t="n">
        <v>1.411289187</v>
      </c>
      <c r="G5" s="17" t="n">
        <v>29092.43</v>
      </c>
      <c r="H5" s="17" t="n">
        <v>14112.89</v>
      </c>
    </row>
    <row r="6">
      <c r="A6" s="17" t="n">
        <v>1969</v>
      </c>
      <c r="B6" s="39" t="n">
        <v>19.4</v>
      </c>
      <c r="C6" s="39" t="n">
        <v>-8.4</v>
      </c>
      <c r="D6" s="39" t="n">
        <v>27.8</v>
      </c>
      <c r="E6" s="40" t="n">
        <v>3.47363604239652</v>
      </c>
      <c r="F6" s="40" t="n">
        <v>1.292740895292</v>
      </c>
      <c r="G6" s="17" t="n">
        <v>34736.36</v>
      </c>
      <c r="H6" s="17" t="n">
        <v>12927.41</v>
      </c>
    </row>
    <row r="7">
      <c r="A7" s="17" t="n">
        <v>1970</v>
      </c>
      <c r="B7" s="39" t="n">
        <v>-4.6</v>
      </c>
      <c r="C7" s="39" t="n">
        <v>3.9</v>
      </c>
      <c r="D7" s="39" t="n">
        <v>-8.5</v>
      </c>
      <c r="E7" s="40" t="n">
        <v>3.31384878444628</v>
      </c>
      <c r="F7" s="40" t="n">
        <v>1.343157790208388</v>
      </c>
      <c r="G7" s="17" t="n">
        <v>33138.49</v>
      </c>
      <c r="H7" s="17" t="n">
        <v>13431.58</v>
      </c>
    </row>
    <row r="8">
      <c r="A8" s="17" t="n">
        <v>1971</v>
      </c>
      <c r="B8" s="39" t="n">
        <v>80.5</v>
      </c>
      <c r="C8" s="39" t="n">
        <v>14.6</v>
      </c>
      <c r="D8" s="39" t="n">
        <v>65.90000000000001</v>
      </c>
      <c r="E8" s="40" t="n">
        <v>5.981497055925535</v>
      </c>
      <c r="F8" s="40" t="n">
        <v>1.539258827578813</v>
      </c>
      <c r="G8" s="17" t="n">
        <v>59814.97</v>
      </c>
      <c r="H8" s="17" t="n">
        <v>15392.59</v>
      </c>
    </row>
    <row r="9">
      <c r="A9" s="17" t="n">
        <v>1972</v>
      </c>
      <c r="B9" s="39" t="n">
        <v>8.1</v>
      </c>
      <c r="C9" s="39" t="n">
        <v>18.9</v>
      </c>
      <c r="D9" s="39" t="n">
        <v>-10.8</v>
      </c>
      <c r="E9" s="40" t="n">
        <v>6.465998317455504</v>
      </c>
      <c r="F9" s="40" t="n">
        <v>1.830178745991208</v>
      </c>
      <c r="G9" s="17" t="n">
        <v>64659.98</v>
      </c>
      <c r="H9" s="17" t="n">
        <v>18301.79</v>
      </c>
    </row>
    <row r="10">
      <c r="A10" s="17" t="n">
        <v>1973</v>
      </c>
      <c r="B10" s="39" t="n">
        <v>-2.5</v>
      </c>
      <c r="C10" s="39" t="n">
        <v>-14.8</v>
      </c>
      <c r="D10" s="39" t="n">
        <v>12.3</v>
      </c>
      <c r="E10" s="40" t="n">
        <v>6.304348359519116</v>
      </c>
      <c r="F10" s="40" t="n">
        <v>1.559312291584509</v>
      </c>
      <c r="G10" s="17" t="n">
        <v>63043.48</v>
      </c>
      <c r="H10" s="17" t="n">
        <v>15593.12</v>
      </c>
    </row>
    <row r="11">
      <c r="A11" s="17" t="n">
        <v>1974</v>
      </c>
      <c r="B11" s="39" t="n">
        <v>-48.7</v>
      </c>
      <c r="C11" s="39" t="n">
        <v>-26.4</v>
      </c>
      <c r="D11" s="39" t="n">
        <v>-22.3</v>
      </c>
      <c r="E11" s="40" t="n">
        <v>3.234130708433306</v>
      </c>
      <c r="F11" s="40" t="n">
        <v>1.147653846606199</v>
      </c>
      <c r="G11" s="17" t="n">
        <v>32341.31</v>
      </c>
      <c r="H11" s="17" t="n">
        <v>11476.54</v>
      </c>
    </row>
    <row r="12">
      <c r="A12" s="17" t="n">
        <v>1975</v>
      </c>
      <c r="B12" s="39" t="n">
        <v>2.5</v>
      </c>
      <c r="C12" s="39" t="n">
        <v>37.2</v>
      </c>
      <c r="D12" s="39" t="n">
        <v>-34.7</v>
      </c>
      <c r="E12" s="40" t="n">
        <v>3.314983976144138</v>
      </c>
      <c r="F12" s="40" t="n">
        <v>1.574581077543705</v>
      </c>
      <c r="G12" s="17" t="n">
        <v>33149.84</v>
      </c>
      <c r="H12" s="17" t="n">
        <v>15745.81</v>
      </c>
    </row>
    <row r="13">
      <c r="A13" s="17" t="n">
        <v>1976</v>
      </c>
      <c r="B13" s="39" t="n">
        <v>129.3</v>
      </c>
      <c r="C13" s="39" t="n">
        <v>23.6</v>
      </c>
      <c r="D13" s="39" t="n">
        <v>105.7</v>
      </c>
      <c r="E13" s="40" t="n">
        <v>7.601258257298509</v>
      </c>
      <c r="F13" s="40" t="n">
        <v>1.946182211844019</v>
      </c>
      <c r="G13" s="17" t="n">
        <v>76012.58</v>
      </c>
      <c r="H13" s="17" t="n">
        <v>19461.82</v>
      </c>
    </row>
    <row r="14">
      <c r="A14" s="17" t="n">
        <v>1977</v>
      </c>
      <c r="B14" s="39" t="n">
        <v>46.8</v>
      </c>
      <c r="C14" s="39" t="n">
        <v>-7.4</v>
      </c>
      <c r="D14" s="39" t="n">
        <v>54.2</v>
      </c>
      <c r="E14" s="40" t="n">
        <v>11.15864712171421</v>
      </c>
      <c r="F14" s="40" t="n">
        <v>1.802164728167562</v>
      </c>
      <c r="G14" s="17" t="n">
        <v>111586.47</v>
      </c>
      <c r="H14" s="17" t="n">
        <v>18021.65</v>
      </c>
    </row>
    <row r="15">
      <c r="A15" s="17" t="n">
        <v>1978</v>
      </c>
      <c r="B15" s="39" t="n">
        <v>14.5</v>
      </c>
      <c r="C15" s="39" t="n">
        <v>6.4</v>
      </c>
      <c r="D15" s="39" t="n">
        <v>8.1</v>
      </c>
      <c r="E15" s="40" t="n">
        <v>12.77665095436277</v>
      </c>
      <c r="F15" s="40" t="n">
        <v>1.917503270770286</v>
      </c>
      <c r="G15" s="17" t="n">
        <v>127766.51</v>
      </c>
      <c r="H15" s="17" t="n">
        <v>19175.03</v>
      </c>
    </row>
    <row r="16">
      <c r="A16" s="17" t="n">
        <v>1979</v>
      </c>
      <c r="B16" s="39" t="n">
        <v>102.5</v>
      </c>
      <c r="C16" s="39" t="n">
        <v>18.2</v>
      </c>
      <c r="D16" s="39" t="n">
        <v>84.3</v>
      </c>
      <c r="E16" s="40" t="n">
        <v>25.87271818258461</v>
      </c>
      <c r="F16" s="40" t="n">
        <v>2.266488866050477</v>
      </c>
      <c r="G16" s="17" t="n">
        <v>258727.18</v>
      </c>
      <c r="H16" s="17" t="n">
        <v>22664.89</v>
      </c>
    </row>
    <row r="17">
      <c r="A17" s="17" t="n">
        <v>1980</v>
      </c>
      <c r="B17" s="39" t="n">
        <v>32.8</v>
      </c>
      <c r="C17" s="39" t="n">
        <v>32.3</v>
      </c>
      <c r="D17" s="39" t="n">
        <v>0.5</v>
      </c>
      <c r="E17" s="40" t="n">
        <v>34.35896974647236</v>
      </c>
      <c r="F17" s="40" t="n">
        <v>2.998564769784782</v>
      </c>
      <c r="G17" s="17" t="n">
        <v>343589.7</v>
      </c>
      <c r="H17" s="17" t="n">
        <v>29985.65</v>
      </c>
    </row>
    <row r="18">
      <c r="A18" s="17" t="n">
        <v>1981</v>
      </c>
      <c r="B18" s="39" t="n">
        <v>31.8</v>
      </c>
      <c r="C18" s="39" t="n">
        <v>-5</v>
      </c>
      <c r="D18" s="39" t="n">
        <v>36.8</v>
      </c>
      <c r="E18" s="40" t="n">
        <v>45.28512212585058</v>
      </c>
      <c r="F18" s="40" t="n">
        <v>2.848636531295543</v>
      </c>
      <c r="G18" s="17" t="n">
        <v>452851.22</v>
      </c>
      <c r="H18" s="17" t="n">
        <v>28486.37</v>
      </c>
    </row>
    <row r="19">
      <c r="A19" s="17" t="n">
        <v>1982</v>
      </c>
      <c r="B19" s="39" t="n">
        <v>38.4</v>
      </c>
      <c r="C19" s="39" t="n">
        <v>21.4</v>
      </c>
      <c r="D19" s="39" t="n">
        <v>17</v>
      </c>
      <c r="E19" s="40" t="n">
        <v>62.67460902217719</v>
      </c>
      <c r="F19" s="40" t="n">
        <v>3.458244748992789</v>
      </c>
      <c r="G19" s="17" t="n">
        <v>626746.09</v>
      </c>
      <c r="H19" s="17" t="n">
        <v>34582.45</v>
      </c>
    </row>
    <row r="20">
      <c r="A20" s="17" t="n">
        <v>1983</v>
      </c>
      <c r="B20" s="39" t="n">
        <v>69</v>
      </c>
      <c r="C20" s="39" t="n">
        <v>22.4</v>
      </c>
      <c r="D20" s="39" t="n">
        <v>46.6</v>
      </c>
      <c r="E20" s="40" t="n">
        <v>105.9200892474795</v>
      </c>
      <c r="F20" s="40" t="n">
        <v>4.232891572767174</v>
      </c>
      <c r="G20" s="17" t="n">
        <v>1059200.89</v>
      </c>
      <c r="H20" s="17" t="n">
        <v>42328.92</v>
      </c>
    </row>
    <row r="21">
      <c r="A21" s="17" t="n">
        <v>1984</v>
      </c>
      <c r="B21" s="39" t="n">
        <v>-2.7</v>
      </c>
      <c r="C21" s="39" t="n">
        <v>6.1</v>
      </c>
      <c r="D21" s="39" t="n">
        <v>-8.800000000000001</v>
      </c>
      <c r="E21" s="40" t="n">
        <v>103.0602468377975</v>
      </c>
      <c r="F21" s="40" t="n">
        <v>4.491097958705971</v>
      </c>
      <c r="G21" s="17" t="n">
        <v>1030602.47</v>
      </c>
      <c r="H21" s="17" t="n">
        <v>44910.98</v>
      </c>
    </row>
    <row r="22">
      <c r="A22" s="17" t="n">
        <v>1985</v>
      </c>
      <c r="B22" s="39" t="n">
        <v>93.7</v>
      </c>
      <c r="C22" s="39" t="n">
        <v>31.6</v>
      </c>
      <c r="D22" s="39" t="n">
        <v>62.1</v>
      </c>
      <c r="E22" s="40" t="n">
        <v>199.6276981248138</v>
      </c>
      <c r="F22" s="40" t="n">
        <v>5.910284913657058</v>
      </c>
      <c r="G22" s="17" t="n">
        <v>1996276.98</v>
      </c>
      <c r="H22" s="17" t="n">
        <v>59102.85</v>
      </c>
    </row>
    <row r="23">
      <c r="A23" s="17" t="n">
        <v>1986</v>
      </c>
      <c r="B23" s="39" t="n">
        <v>14.2</v>
      </c>
      <c r="C23" s="39" t="n">
        <v>18.6</v>
      </c>
      <c r="D23" s="39" t="n">
        <v>-4.4</v>
      </c>
      <c r="E23" s="40" t="n">
        <v>227.9748312585373</v>
      </c>
      <c r="F23" s="40" t="n">
        <v>7.009597907597271</v>
      </c>
      <c r="G23" s="17" t="n">
        <v>2279748.31</v>
      </c>
      <c r="H23" s="17" t="n">
        <v>70095.98</v>
      </c>
    </row>
    <row r="24">
      <c r="A24" s="17" t="n">
        <v>1987</v>
      </c>
      <c r="B24" s="39" t="n">
        <v>4.6</v>
      </c>
      <c r="C24" s="39" t="n">
        <v>5.1</v>
      </c>
      <c r="D24" s="39" t="n">
        <v>-0.5</v>
      </c>
      <c r="E24" s="40" t="n">
        <v>238.46167349643</v>
      </c>
      <c r="F24" s="40" t="n">
        <v>7.36708740088473</v>
      </c>
      <c r="G24" s="17" t="n">
        <v>2384616.73</v>
      </c>
      <c r="H24" s="17" t="n">
        <v>73670.87</v>
      </c>
    </row>
    <row r="25">
      <c r="A25" s="17" t="n">
        <v>1988</v>
      </c>
      <c r="B25" s="39" t="n">
        <v>59.3</v>
      </c>
      <c r="C25" s="39" t="n">
        <v>16.6</v>
      </c>
      <c r="D25" s="39" t="n">
        <v>42.7</v>
      </c>
      <c r="E25" s="40" t="n">
        <v>379.869445879813</v>
      </c>
      <c r="F25" s="40" t="n">
        <v>8.590023909431595</v>
      </c>
      <c r="G25" s="17" t="n">
        <v>3798694.46</v>
      </c>
      <c r="H25" s="17" t="n">
        <v>85900.24000000001</v>
      </c>
    </row>
    <row r="26">
      <c r="A26" s="17" t="n">
        <v>1989</v>
      </c>
      <c r="B26" s="39" t="n">
        <v>84.59999999999999</v>
      </c>
      <c r="C26" s="39" t="n">
        <v>31.7</v>
      </c>
      <c r="D26" s="39" t="n">
        <v>52.9</v>
      </c>
      <c r="E26" s="40" t="n">
        <v>701.2389970941349</v>
      </c>
      <c r="F26" s="40" t="n">
        <v>11.31306148872141</v>
      </c>
      <c r="G26" s="17" t="n">
        <v>7012389.97</v>
      </c>
      <c r="H26" s="17" t="n">
        <v>113130.61</v>
      </c>
    </row>
    <row r="27">
      <c r="A27" s="17" t="n">
        <v>1990</v>
      </c>
      <c r="B27" s="39" t="n">
        <v>-23.1</v>
      </c>
      <c r="C27" s="39" t="n">
        <v>-3.1</v>
      </c>
      <c r="D27" s="39" t="n">
        <v>-20</v>
      </c>
      <c r="E27" s="40" t="n">
        <v>539.2527887653897</v>
      </c>
      <c r="F27" s="40" t="n">
        <v>10.96235658257105</v>
      </c>
      <c r="G27" s="17" t="n">
        <v>5392527.89</v>
      </c>
      <c r="H27" s="17" t="n">
        <v>109623.57</v>
      </c>
    </row>
    <row r="28">
      <c r="A28" s="17" t="n">
        <v>1991</v>
      </c>
      <c r="B28" s="39" t="n">
        <v>35.6</v>
      </c>
      <c r="C28" s="39" t="n">
        <v>30.5</v>
      </c>
      <c r="D28" s="39" t="n">
        <v>5.1</v>
      </c>
      <c r="E28" s="40" t="n">
        <v>731.2267815658685</v>
      </c>
      <c r="F28" s="40" t="n">
        <v>14.30587534025522</v>
      </c>
      <c r="G28" s="17" t="n">
        <v>7312267.82</v>
      </c>
      <c r="H28" s="17" t="n">
        <v>143058.75</v>
      </c>
    </row>
    <row r="29">
      <c r="A29" s="17" t="n">
        <v>1992</v>
      </c>
      <c r="B29" s="39" t="n">
        <v>29.8</v>
      </c>
      <c r="C29" s="39" t="n">
        <v>7.6</v>
      </c>
      <c r="D29" s="39" t="n">
        <v>22.2</v>
      </c>
      <c r="E29" s="40" t="n">
        <v>949.1323624724973</v>
      </c>
      <c r="F29" s="40" t="n">
        <v>15.39312186611461</v>
      </c>
      <c r="G29" s="17" t="n">
        <v>9491323.619999999</v>
      </c>
      <c r="H29" s="17" t="n">
        <v>153931.22</v>
      </c>
    </row>
    <row r="30">
      <c r="A30" s="17" t="n">
        <v>1993</v>
      </c>
      <c r="B30" s="39" t="n">
        <v>38.9</v>
      </c>
      <c r="C30" s="39" t="n">
        <v>10.1</v>
      </c>
      <c r="D30" s="39" t="n">
        <v>28.8</v>
      </c>
      <c r="E30" s="40" t="n">
        <v>1318.344851474299</v>
      </c>
      <c r="F30" s="40" t="n">
        <v>16.94782717459219</v>
      </c>
      <c r="G30" s="17" t="n">
        <v>13183448.51</v>
      </c>
      <c r="H30" s="17" t="n">
        <v>169478.27</v>
      </c>
    </row>
    <row r="31">
      <c r="A31" s="17" t="n">
        <v>1994</v>
      </c>
      <c r="B31" s="39" t="n">
        <v>25</v>
      </c>
      <c r="C31" s="39" t="n">
        <v>1.3</v>
      </c>
      <c r="D31" s="39" t="n">
        <v>23.7</v>
      </c>
      <c r="E31" s="40" t="n">
        <v>1647.931064342873</v>
      </c>
      <c r="F31" s="40" t="n">
        <v>17.16814892786189</v>
      </c>
      <c r="G31" s="17" t="n">
        <v>16479310.64</v>
      </c>
      <c r="H31" s="17" t="n">
        <v>171681.49</v>
      </c>
    </row>
    <row r="32">
      <c r="A32" s="17" t="n">
        <v>1995</v>
      </c>
      <c r="B32" s="39" t="n">
        <v>57.4</v>
      </c>
      <c r="C32" s="39" t="n">
        <v>37.6</v>
      </c>
      <c r="D32" s="39" t="n">
        <v>19.8</v>
      </c>
      <c r="E32" s="40" t="n">
        <v>2593.843495275682</v>
      </c>
      <c r="F32" s="40" t="n">
        <v>23.62337292473795</v>
      </c>
      <c r="G32" s="17" t="n">
        <v>25938434.95</v>
      </c>
      <c r="H32" s="17" t="n">
        <v>236233.73</v>
      </c>
    </row>
    <row r="33">
      <c r="A33" s="17" t="n">
        <v>1996</v>
      </c>
      <c r="B33" s="39" t="n">
        <v>6.2</v>
      </c>
      <c r="C33" s="39" t="n">
        <v>23</v>
      </c>
      <c r="D33" s="39" t="n">
        <v>-16.8</v>
      </c>
      <c r="E33" s="40" t="n">
        <v>2754.661791982775</v>
      </c>
      <c r="F33" s="40" t="n">
        <v>29.05674869742768</v>
      </c>
      <c r="G33" s="17" t="n">
        <v>27546617.92</v>
      </c>
      <c r="H33" s="17" t="n">
        <v>290567.49</v>
      </c>
    </row>
    <row r="34">
      <c r="A34" s="17" t="n">
        <v>1997</v>
      </c>
      <c r="B34" s="39" t="n">
        <v>34.9</v>
      </c>
      <c r="C34" s="39" t="n">
        <v>33.4</v>
      </c>
      <c r="D34" s="39" t="n">
        <v>1.5</v>
      </c>
      <c r="E34" s="40" t="n">
        <v>3716.038757384763</v>
      </c>
      <c r="F34" s="40" t="n">
        <v>38.76170276236853</v>
      </c>
      <c r="G34" s="17" t="n">
        <v>37160387.57</v>
      </c>
      <c r="H34" s="17" t="n">
        <v>387617.03</v>
      </c>
    </row>
    <row r="35">
      <c r="A35" s="17" t="n">
        <v>1998</v>
      </c>
      <c r="B35" s="39" t="n">
        <v>52.2</v>
      </c>
      <c r="C35" s="39" t="n">
        <v>28.6</v>
      </c>
      <c r="D35" s="39" t="n">
        <v>23.6</v>
      </c>
      <c r="E35" s="40" t="n">
        <v>5655.810988739609</v>
      </c>
      <c r="F35" s="40" t="n">
        <v>49.84754975240593</v>
      </c>
      <c r="G35" s="17" t="n">
        <v>56558109.89</v>
      </c>
      <c r="H35" s="17" t="n">
        <v>498475.5</v>
      </c>
    </row>
    <row r="36">
      <c r="A36" s="17" t="n">
        <v>1999</v>
      </c>
      <c r="B36" s="39" t="n">
        <v>-19.9</v>
      </c>
      <c r="C36" s="39" t="n">
        <v>21</v>
      </c>
      <c r="D36" s="39" t="n">
        <v>-40.9</v>
      </c>
      <c r="E36" s="40" t="n">
        <v>4530.304601980428</v>
      </c>
      <c r="F36" s="40" t="n">
        <v>60.31553520041118</v>
      </c>
      <c r="G36" s="17" t="n">
        <v>45303046.02</v>
      </c>
      <c r="H36" s="17" t="n">
        <v>603155.35</v>
      </c>
    </row>
    <row r="37">
      <c r="A37" s="17" t="n">
        <v>2000</v>
      </c>
      <c r="B37" s="39" t="n">
        <v>26.6</v>
      </c>
      <c r="C37" s="39" t="n">
        <v>-9.1</v>
      </c>
      <c r="D37" s="39" t="n">
        <v>35.7</v>
      </c>
      <c r="E37" s="40" t="n">
        <v>5735.365626107222</v>
      </c>
      <c r="F37" s="40" t="n">
        <v>54.82682149717376</v>
      </c>
      <c r="G37" s="17" t="n">
        <v>57353656.26</v>
      </c>
      <c r="H37" s="17" t="n">
        <v>548268.21</v>
      </c>
    </row>
    <row r="38">
      <c r="A38" s="17" t="n">
        <v>2001</v>
      </c>
      <c r="B38" s="39" t="n">
        <v>6.5</v>
      </c>
      <c r="C38" s="39" t="n">
        <v>-11.9</v>
      </c>
      <c r="D38" s="39" t="n">
        <v>18.4</v>
      </c>
      <c r="E38" s="40" t="n">
        <v>6108.164391804191</v>
      </c>
      <c r="F38" s="40" t="n">
        <v>48.30242973901009</v>
      </c>
      <c r="G38" s="17" t="n">
        <v>61081643.92</v>
      </c>
      <c r="H38" s="17" t="n">
        <v>483024.3</v>
      </c>
    </row>
    <row r="39">
      <c r="A39" s="17" t="n">
        <v>2002</v>
      </c>
      <c r="B39" s="39" t="n">
        <v>-3.8</v>
      </c>
      <c r="C39" s="39" t="n">
        <v>-22.1</v>
      </c>
      <c r="D39" s="39" t="n">
        <v>18.3</v>
      </c>
      <c r="E39" s="40" t="n">
        <v>5876.054144915632</v>
      </c>
      <c r="F39" s="40" t="n">
        <v>37.62759276668886</v>
      </c>
      <c r="G39" s="17" t="n">
        <v>58760541.45</v>
      </c>
      <c r="H39" s="17" t="n">
        <v>376275.93</v>
      </c>
    </row>
    <row r="40">
      <c r="A40" s="17" t="n">
        <v>2003</v>
      </c>
      <c r="B40" s="39" t="n">
        <v>15.8</v>
      </c>
      <c r="C40" s="39" t="n">
        <v>28.7</v>
      </c>
      <c r="D40" s="39" t="n">
        <v>-12.9</v>
      </c>
      <c r="E40" s="40" t="n">
        <v>6804.470699812301</v>
      </c>
      <c r="F40" s="40" t="n">
        <v>48.42671189072855</v>
      </c>
      <c r="G40" s="17" t="n">
        <v>68044707</v>
      </c>
      <c r="H40" s="17" t="n">
        <v>484267.12</v>
      </c>
    </row>
    <row r="41">
      <c r="A41" s="17" t="n">
        <v>2004</v>
      </c>
      <c r="B41" s="39" t="n">
        <v>4.3</v>
      </c>
      <c r="C41" s="39" t="n">
        <v>10.9</v>
      </c>
      <c r="D41" s="39" t="n">
        <v>-6.6</v>
      </c>
      <c r="E41" s="40" t="n">
        <v>7097.062939904229</v>
      </c>
      <c r="F41" s="40" t="n">
        <v>53.70522348681796</v>
      </c>
      <c r="G41" s="17" t="n">
        <v>70970629.40000001</v>
      </c>
      <c r="H41" s="17" t="n">
        <v>537052.23</v>
      </c>
    </row>
    <row r="42">
      <c r="A42" s="17" t="n">
        <v>2005</v>
      </c>
      <c r="B42" s="39" t="n">
        <v>0.8</v>
      </c>
      <c r="C42" s="39" t="n">
        <v>4.9</v>
      </c>
      <c r="D42" s="39" t="n">
        <v>-4.1</v>
      </c>
      <c r="E42" s="40" t="n">
        <v>7153.839443423463</v>
      </c>
      <c r="F42" s="40" t="n">
        <v>56.33677943767204</v>
      </c>
      <c r="G42" s="17" t="n">
        <v>71538394.43000001</v>
      </c>
      <c r="H42" s="17" t="n">
        <v>563367.79</v>
      </c>
    </row>
    <row r="43">
      <c r="A43" s="17" t="n">
        <v>2006</v>
      </c>
      <c r="B43" s="39" t="n">
        <v>24.1</v>
      </c>
      <c r="C43" s="39" t="n">
        <v>15.8</v>
      </c>
      <c r="D43" s="39" t="n">
        <v>8.300000000000001</v>
      </c>
      <c r="E43" s="40" t="n">
        <v>8877.914749288519</v>
      </c>
      <c r="F43" s="40" t="n">
        <v>65.23799058882422</v>
      </c>
      <c r="G43" s="17" t="n">
        <v>88779147.48999999</v>
      </c>
      <c r="H43" s="17" t="n">
        <v>652379.91</v>
      </c>
    </row>
    <row r="44">
      <c r="A44" s="17" t="n">
        <v>2007</v>
      </c>
      <c r="B44" s="39" t="n">
        <v>28.7</v>
      </c>
      <c r="C44" s="39" t="n">
        <v>5.5</v>
      </c>
      <c r="D44" s="39" t="n">
        <v>23.2</v>
      </c>
      <c r="E44" s="40" t="n">
        <v>11425.87628233432</v>
      </c>
      <c r="F44" s="40" t="n">
        <v>68.82608007120955</v>
      </c>
      <c r="G44" s="17" t="n">
        <v>114258762.82</v>
      </c>
      <c r="H44" s="17" t="n">
        <v>688260.8</v>
      </c>
    </row>
    <row r="45">
      <c r="A45" s="17" t="n">
        <v>2008</v>
      </c>
      <c r="B45" s="39" t="n">
        <v>-31.8</v>
      </c>
      <c r="C45" s="39" t="n">
        <v>-37</v>
      </c>
      <c r="D45" s="39" t="n">
        <v>5.2</v>
      </c>
      <c r="E45" s="40" t="n">
        <v>7792.447624552007</v>
      </c>
      <c r="F45" s="40" t="n">
        <v>43.36043044486201</v>
      </c>
      <c r="G45" s="17" t="n">
        <v>77924476.25</v>
      </c>
      <c r="H45" s="17" t="n">
        <v>433604.3</v>
      </c>
    </row>
    <row r="46">
      <c r="A46" s="17" t="n">
        <v>2009</v>
      </c>
      <c r="B46" s="39" t="n">
        <v>2.7</v>
      </c>
      <c r="C46" s="39" t="n">
        <v>26.5</v>
      </c>
      <c r="D46" s="39" t="n">
        <v>-23.8</v>
      </c>
      <c r="E46" s="40" t="n">
        <v>8002.843710414911</v>
      </c>
      <c r="F46" s="40" t="n">
        <v>54.85094451275045</v>
      </c>
      <c r="G46" s="17" t="n">
        <v>80028437.09999999</v>
      </c>
      <c r="H46" s="17" t="n">
        <v>548509.45</v>
      </c>
    </row>
    <row r="47">
      <c r="A47" s="17" t="n">
        <v>2010</v>
      </c>
      <c r="B47" s="39" t="n">
        <v>21.4</v>
      </c>
      <c r="C47" s="39" t="n">
        <v>15.1</v>
      </c>
      <c r="D47" s="39" t="n">
        <v>6.3</v>
      </c>
      <c r="E47" s="40" t="n">
        <v>9715.452264443702</v>
      </c>
      <c r="F47" s="40" t="n">
        <v>63.13343713417577</v>
      </c>
      <c r="G47" s="17" t="n">
        <v>97154522.64</v>
      </c>
      <c r="H47" s="17" t="n">
        <v>631334.37</v>
      </c>
    </row>
    <row r="48">
      <c r="A48" s="17" t="n">
        <v>2011</v>
      </c>
      <c r="B48" s="39" t="n">
        <v>-4.7</v>
      </c>
      <c r="C48" s="39" t="n">
        <v>2.1</v>
      </c>
      <c r="D48" s="39" t="n">
        <v>-6.8</v>
      </c>
      <c r="E48" s="40" t="n">
        <v>9258.826008014848</v>
      </c>
      <c r="F48" s="40" t="n">
        <v>64.45923931399345</v>
      </c>
      <c r="G48" s="17" t="n">
        <v>92588260.08</v>
      </c>
      <c r="H48" s="17" t="n">
        <v>644592.39</v>
      </c>
    </row>
    <row r="49">
      <c r="A49" s="17" t="n">
        <v>2012</v>
      </c>
      <c r="B49" s="39" t="n">
        <v>16.8</v>
      </c>
      <c r="C49" s="39" t="n">
        <v>16</v>
      </c>
      <c r="D49" s="39" t="n">
        <v>0.8</v>
      </c>
      <c r="E49" s="40" t="n">
        <v>10814.30877736134</v>
      </c>
      <c r="F49" s="40" t="n">
        <v>74.7727176042324</v>
      </c>
      <c r="G49" s="17" t="n">
        <v>108143087.77</v>
      </c>
      <c r="H49" s="17" t="n">
        <v>747727.1800000001</v>
      </c>
    </row>
    <row r="50">
      <c r="A50" s="17" t="n">
        <v>2013</v>
      </c>
      <c r="B50" s="39" t="n">
        <v>32.7</v>
      </c>
      <c r="C50" s="39" t="n">
        <v>32.4</v>
      </c>
      <c r="D50" s="39" t="n">
        <v>0.3</v>
      </c>
      <c r="E50" s="40" t="n">
        <v>14350.5877475585</v>
      </c>
      <c r="F50" s="40" t="n">
        <v>98.9990781080037</v>
      </c>
      <c r="G50" s="17" t="n">
        <v>143505877.48</v>
      </c>
      <c r="H50" s="17" t="n">
        <v>989990.78</v>
      </c>
    </row>
    <row r="51">
      <c r="A51" s="17" t="n">
        <v>2014</v>
      </c>
      <c r="B51" s="39" t="n">
        <v>27</v>
      </c>
      <c r="C51" s="39" t="n">
        <v>13.7</v>
      </c>
      <c r="D51" s="39" t="n">
        <v>13.3</v>
      </c>
      <c r="E51" s="40" t="n">
        <v>18225.2464393993</v>
      </c>
      <c r="F51" s="40" t="n">
        <v>112.5619518088002</v>
      </c>
      <c r="G51" s="17" t="n">
        <v>182252464.39</v>
      </c>
      <c r="H51" s="17" t="n">
        <v>1125619.52</v>
      </c>
    </row>
    <row r="52">
      <c r="A52" s="17" t="n">
        <v>2015</v>
      </c>
      <c r="B52" s="39" t="n">
        <v>-12.5</v>
      </c>
      <c r="C52" s="39" t="n">
        <v>1.4</v>
      </c>
      <c r="D52" s="39" t="n">
        <v>-13.9</v>
      </c>
      <c r="E52" s="40" t="n">
        <v>15947.09063447438</v>
      </c>
      <c r="F52" s="40" t="n">
        <v>114.1378191341234</v>
      </c>
      <c r="G52" s="17" t="n">
        <v>159470906.34</v>
      </c>
      <c r="H52" s="17" t="n">
        <v>1141378.19</v>
      </c>
    </row>
    <row r="53">
      <c r="A53" s="17" t="n">
        <v>2016</v>
      </c>
      <c r="B53" s="39" t="n">
        <v>23.4</v>
      </c>
      <c r="C53" s="39" t="n">
        <v>12</v>
      </c>
      <c r="D53" s="39" t="n">
        <v>11.4</v>
      </c>
      <c r="E53" s="40" t="n">
        <v>19678.70984294139</v>
      </c>
      <c r="F53" s="40" t="n">
        <v>127.8343574302182</v>
      </c>
      <c r="G53" s="17" t="n">
        <v>196787098.43</v>
      </c>
      <c r="H53" s="17" t="n">
        <v>1278343.57</v>
      </c>
    </row>
    <row r="54">
      <c r="A54" s="17" t="n">
        <v>2017</v>
      </c>
      <c r="B54" s="39" t="n">
        <v>21.9</v>
      </c>
      <c r="C54" s="39" t="n">
        <v>21.8</v>
      </c>
      <c r="D54" s="39" t="n">
        <v>0.1</v>
      </c>
      <c r="E54" s="40" t="n">
        <v>23988.34729854555</v>
      </c>
      <c r="F54" s="40" t="n">
        <v>155.7022473500058</v>
      </c>
      <c r="G54" s="17" t="n">
        <v>239883472.99</v>
      </c>
      <c r="H54" s="17" t="n">
        <v>1557022.47</v>
      </c>
    </row>
    <row r="55">
      <c r="A55" s="17" t="n">
        <v>2018</v>
      </c>
      <c r="B55" s="39" t="n">
        <v>2.8</v>
      </c>
      <c r="C55" s="39" t="n">
        <v>-4.4</v>
      </c>
      <c r="D55" s="39" t="n">
        <v>7.2</v>
      </c>
      <c r="E55" s="40" t="n">
        <v>24660.02102290483</v>
      </c>
      <c r="F55" s="40" t="n">
        <v>148.8513484666055</v>
      </c>
      <c r="G55" s="17" t="n">
        <v>246600210.23</v>
      </c>
      <c r="H55" s="17" t="n">
        <v>1488513.48</v>
      </c>
    </row>
    <row r="56">
      <c r="A56" s="17" t="n">
        <v>2019</v>
      </c>
      <c r="B56" s="39" t="n">
        <v>11</v>
      </c>
      <c r="C56" s="39" t="n">
        <v>31.5</v>
      </c>
      <c r="D56" s="39" t="n">
        <v>-20.5</v>
      </c>
      <c r="E56" s="40" t="n">
        <v>27372.62333542436</v>
      </c>
      <c r="F56" s="40" t="n">
        <v>195.7395232335863</v>
      </c>
      <c r="G56" s="17" t="n">
        <v>273726233.35</v>
      </c>
      <c r="H56" s="17" t="n">
        <v>1957395.23</v>
      </c>
    </row>
    <row r="57">
      <c r="A57" s="17" t="n">
        <v>2020</v>
      </c>
      <c r="B57" s="39" t="n">
        <v>2.4</v>
      </c>
      <c r="C57" s="39" t="n">
        <v>18.4</v>
      </c>
      <c r="D57" s="39" t="n">
        <v>-16</v>
      </c>
      <c r="E57" s="40" t="n">
        <v>28029.56629547455</v>
      </c>
      <c r="F57" s="40" t="n">
        <v>231.7555955085662</v>
      </c>
      <c r="G57" s="17" t="n">
        <v>280295662.95</v>
      </c>
      <c r="H57" s="17" t="n">
        <v>2317555.96</v>
      </c>
    </row>
    <row r="58">
      <c r="A58" s="17" t="n">
        <v>2021</v>
      </c>
      <c r="B58" s="39" t="n">
        <v>29.6</v>
      </c>
      <c r="C58" s="39" t="n">
        <v>28.7</v>
      </c>
      <c r="D58" s="39" t="n">
        <v>0.9</v>
      </c>
      <c r="E58" s="40" t="n">
        <v>36326.31791893502</v>
      </c>
      <c r="F58" s="40" t="n">
        <v>298.2694514195246</v>
      </c>
      <c r="G58" s="17" t="n">
        <v>363263179.19</v>
      </c>
      <c r="H58" s="17" t="n">
        <v>2982694.51</v>
      </c>
    </row>
    <row r="59">
      <c r="A59" s="17" t="n">
        <v>2022</v>
      </c>
      <c r="B59" s="39" t="n">
        <v>4</v>
      </c>
      <c r="C59" s="39" t="n">
        <v>-18.1</v>
      </c>
      <c r="D59" s="39" t="n">
        <v>22.1</v>
      </c>
      <c r="E59" s="40" t="n">
        <v>37779.37063569242</v>
      </c>
      <c r="F59" s="40" t="n">
        <v>244.2826807125906</v>
      </c>
      <c r="G59" s="17" t="n">
        <v>377793706.36</v>
      </c>
      <c r="H59" s="17" t="n">
        <v>2442826.81</v>
      </c>
    </row>
    <row r="60">
      <c r="A60" s="17" t="n">
        <v>2023</v>
      </c>
      <c r="B60" s="39" t="n">
        <v>15.8</v>
      </c>
      <c r="C60" s="39" t="n">
        <v>26.3</v>
      </c>
      <c r="D60" s="39" t="n">
        <v>-10.5</v>
      </c>
      <c r="E60" s="40" t="n">
        <v>43748.51119613183</v>
      </c>
      <c r="F60" s="40" t="n">
        <v>308.5290257400019</v>
      </c>
      <c r="G60" s="17" t="n">
        <v>437485111.96</v>
      </c>
      <c r="H60" s="17" t="n">
        <v>3085290.26</v>
      </c>
    </row>
    <row r="61">
      <c r="A61" s="17" t="n">
        <v>2024</v>
      </c>
      <c r="B61" s="39" t="n">
        <v>25.5</v>
      </c>
      <c r="C61" s="39" t="n">
        <v>25</v>
      </c>
      <c r="D61" s="39" t="n">
        <v>0.5</v>
      </c>
      <c r="E61" s="40" t="n">
        <v>54904.38155114544</v>
      </c>
      <c r="F61" s="40" t="n">
        <v>385.6612821750024</v>
      </c>
      <c r="G61" s="17" t="n">
        <v>549043815.51</v>
      </c>
      <c r="H61" s="17" t="n">
        <v>3856612.82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year</t>
        </is>
      </c>
      <c r="B1" s="10" t="inlineStr">
        <is>
          <t>magellan_return_pct</t>
        </is>
      </c>
      <c r="C1" s="10" t="inlineStr">
        <is>
          <t>sp500_return_pct</t>
        </is>
      </c>
      <c r="D1" s="10" t="inlineStr">
        <is>
          <t>outperformance_pct</t>
        </is>
      </c>
      <c r="E1" s="10" t="inlineStr">
        <is>
          <t>aum_million_usd</t>
        </is>
      </c>
      <c r="F1" s="10" t="inlineStr">
        <is>
          <t>magellan_cum_mult</t>
        </is>
      </c>
      <c r="G1" s="10" t="inlineStr">
        <is>
          <t>sp500_cum_mult</t>
        </is>
      </c>
      <c r="H1" s="10" t="inlineStr">
        <is>
          <t>growth_of_10k_magellan</t>
        </is>
      </c>
      <c r="I1" s="10" t="inlineStr">
        <is>
          <t>growth_of_10k_sp500</t>
        </is>
      </c>
    </row>
    <row r="2">
      <c r="A2" s="17" t="n">
        <v>1977</v>
      </c>
      <c r="B2" s="39" t="n">
        <v>20</v>
      </c>
      <c r="C2" s="39" t="n">
        <v>-7.4</v>
      </c>
      <c r="D2" s="39" t="n">
        <v>27.4</v>
      </c>
      <c r="E2" s="17" t="n">
        <v>20</v>
      </c>
      <c r="F2" s="17" t="n">
        <v>1.2</v>
      </c>
      <c r="G2" s="17" t="n">
        <v>0.9259999999999999</v>
      </c>
      <c r="H2" s="17" t="n">
        <v>12000</v>
      </c>
      <c r="I2" s="17" t="n">
        <v>9260</v>
      </c>
    </row>
    <row r="3">
      <c r="A3" s="17" t="n">
        <v>1978</v>
      </c>
      <c r="B3" s="39" t="n">
        <v>32</v>
      </c>
      <c r="C3" s="39" t="n">
        <v>6.4</v>
      </c>
      <c r="D3" s="39" t="n">
        <v>25.6</v>
      </c>
      <c r="E3" s="17" t="n">
        <v>28</v>
      </c>
      <c r="F3" s="17" t="n">
        <v>1.584</v>
      </c>
      <c r="G3" s="17" t="n">
        <v>0.985264</v>
      </c>
      <c r="H3" s="17" t="n">
        <v>15840</v>
      </c>
      <c r="I3" s="17" t="n">
        <v>9852.639999999999</v>
      </c>
    </row>
    <row r="4">
      <c r="A4" s="17" t="n">
        <v>1979</v>
      </c>
      <c r="B4" s="39" t="n">
        <v>51</v>
      </c>
      <c r="C4" s="39" t="n">
        <v>18.2</v>
      </c>
      <c r="D4" s="39" t="n">
        <v>32.8</v>
      </c>
      <c r="E4" s="17" t="n">
        <v>45</v>
      </c>
      <c r="F4" s="17" t="n">
        <v>2.39184</v>
      </c>
      <c r="G4" s="17" t="n">
        <v>1.164582048</v>
      </c>
      <c r="H4" s="17" t="n">
        <v>23918.4</v>
      </c>
      <c r="I4" s="17" t="n">
        <v>11645.82</v>
      </c>
    </row>
    <row r="5">
      <c r="A5" s="17" t="n">
        <v>1980</v>
      </c>
      <c r="B5" s="39" t="n">
        <v>70</v>
      </c>
      <c r="C5" s="39" t="n">
        <v>32.3</v>
      </c>
      <c r="D5" s="39" t="n">
        <v>37.7</v>
      </c>
      <c r="E5" s="17" t="n">
        <v>100</v>
      </c>
      <c r="F5" s="17" t="n">
        <v>4.066128</v>
      </c>
      <c r="G5" s="17" t="n">
        <v>1.540742049504</v>
      </c>
      <c r="H5" s="17" t="n">
        <v>40661.28</v>
      </c>
      <c r="I5" s="17" t="n">
        <v>15407.42</v>
      </c>
    </row>
    <row r="6">
      <c r="A6" s="17" t="n">
        <v>1981</v>
      </c>
      <c r="B6" s="39" t="n">
        <v>16.5</v>
      </c>
      <c r="C6" s="39" t="n">
        <v>-5</v>
      </c>
      <c r="D6" s="39" t="n">
        <v>21.5</v>
      </c>
      <c r="E6" s="17" t="n">
        <v>160</v>
      </c>
      <c r="F6" s="17" t="n">
        <v>4.73703912</v>
      </c>
      <c r="G6" s="17" t="n">
        <v>1.4637049470288</v>
      </c>
      <c r="H6" s="17" t="n">
        <v>47370.39</v>
      </c>
      <c r="I6" s="17" t="n">
        <v>14637.05</v>
      </c>
    </row>
    <row r="7">
      <c r="A7" s="17" t="n">
        <v>1982</v>
      </c>
      <c r="B7" s="39" t="n">
        <v>48</v>
      </c>
      <c r="C7" s="39" t="n">
        <v>21.4</v>
      </c>
      <c r="D7" s="39" t="n">
        <v>26.6</v>
      </c>
      <c r="E7" s="17" t="n">
        <v>450</v>
      </c>
      <c r="F7" s="17" t="n">
        <v>7.010817897600001</v>
      </c>
      <c r="G7" s="17" t="n">
        <v>1.776937805692963</v>
      </c>
      <c r="H7" s="17" t="n">
        <v>70108.17999999999</v>
      </c>
      <c r="I7" s="17" t="n">
        <v>17769.38</v>
      </c>
    </row>
    <row r="8">
      <c r="A8" s="17" t="n">
        <v>1983</v>
      </c>
      <c r="B8" s="39" t="n">
        <v>38.6</v>
      </c>
      <c r="C8" s="39" t="n">
        <v>22.4</v>
      </c>
      <c r="D8" s="39" t="n">
        <v>16.2</v>
      </c>
      <c r="E8" s="17" t="n">
        <v>1600</v>
      </c>
      <c r="F8" s="17" t="n">
        <v>9.716993606073602</v>
      </c>
      <c r="G8" s="17" t="n">
        <v>2.174971874168186</v>
      </c>
      <c r="H8" s="17" t="n">
        <v>97169.94</v>
      </c>
      <c r="I8" s="17" t="n">
        <v>21749.72</v>
      </c>
    </row>
    <row r="9">
      <c r="A9" s="17" t="n">
        <v>1984</v>
      </c>
      <c r="B9" s="39" t="n">
        <v>2</v>
      </c>
      <c r="C9" s="39" t="n">
        <v>6.1</v>
      </c>
      <c r="D9" s="39" t="n">
        <v>-4.1</v>
      </c>
      <c r="E9" s="17" t="n">
        <v>2300</v>
      </c>
      <c r="F9" s="17" t="n">
        <v>9.911333478195075</v>
      </c>
      <c r="G9" s="17" t="n">
        <v>2.307645158492446</v>
      </c>
      <c r="H9" s="17" t="n">
        <v>99113.33</v>
      </c>
      <c r="I9" s="17" t="n">
        <v>23076.45</v>
      </c>
    </row>
    <row r="10">
      <c r="A10" s="17" t="n">
        <v>1985</v>
      </c>
      <c r="B10" s="39" t="n">
        <v>43.1</v>
      </c>
      <c r="C10" s="39" t="n">
        <v>31.6</v>
      </c>
      <c r="D10" s="39" t="n">
        <v>11.5</v>
      </c>
      <c r="E10" s="17" t="n">
        <v>4100</v>
      </c>
      <c r="F10" s="17" t="n">
        <v>14.18311820729715</v>
      </c>
      <c r="G10" s="17" t="n">
        <v>3.036861028576059</v>
      </c>
      <c r="H10" s="17" t="n">
        <v>141831.18</v>
      </c>
      <c r="I10" s="17" t="n">
        <v>30368.61</v>
      </c>
    </row>
    <row r="11">
      <c r="A11" s="17" t="n">
        <v>1986</v>
      </c>
      <c r="B11" s="39" t="n">
        <v>23.7</v>
      </c>
      <c r="C11" s="39" t="n">
        <v>18.6</v>
      </c>
      <c r="D11" s="39" t="n">
        <v>5.1</v>
      </c>
      <c r="E11" s="17" t="n">
        <v>7000</v>
      </c>
      <c r="F11" s="17" t="n">
        <v>17.54451722242658</v>
      </c>
      <c r="G11" s="17" t="n">
        <v>3.601717179891206</v>
      </c>
      <c r="H11" s="17" t="n">
        <v>175445.17</v>
      </c>
      <c r="I11" s="17" t="n">
        <v>36017.17</v>
      </c>
    </row>
    <row r="12">
      <c r="A12" s="17" t="n">
        <v>1987</v>
      </c>
      <c r="B12" s="39" t="n">
        <v>1</v>
      </c>
      <c r="C12" s="39" t="n">
        <v>5.1</v>
      </c>
      <c r="D12" s="39" t="n">
        <v>-4.1</v>
      </c>
      <c r="E12" s="17" t="n">
        <v>8500</v>
      </c>
      <c r="F12" s="17" t="n">
        <v>17.71996239465085</v>
      </c>
      <c r="G12" s="17" t="n">
        <v>3.785404756065657</v>
      </c>
      <c r="H12" s="17" t="n">
        <v>177199.62</v>
      </c>
      <c r="I12" s="17" t="n">
        <v>37854.05</v>
      </c>
    </row>
    <row r="13">
      <c r="A13" s="17" t="n">
        <v>1988</v>
      </c>
      <c r="B13" s="39" t="n">
        <v>22.8</v>
      </c>
      <c r="C13" s="39" t="n">
        <v>16.6</v>
      </c>
      <c r="D13" s="39" t="n">
        <v>6.2</v>
      </c>
      <c r="E13" s="17" t="n">
        <v>9200</v>
      </c>
      <c r="F13" s="17" t="n">
        <v>21.76011382063124</v>
      </c>
      <c r="G13" s="17" t="n">
        <v>4.413781945572556</v>
      </c>
      <c r="H13" s="17" t="n">
        <v>217601.14</v>
      </c>
      <c r="I13" s="17" t="n">
        <v>44137.82</v>
      </c>
    </row>
    <row r="14">
      <c r="A14" s="17" t="n">
        <v>1989</v>
      </c>
      <c r="B14" s="39" t="n">
        <v>34.6</v>
      </c>
      <c r="C14" s="39" t="n">
        <v>31.7</v>
      </c>
      <c r="D14" s="39" t="n">
        <v>2.9</v>
      </c>
      <c r="E14" s="17" t="n">
        <v>12800</v>
      </c>
      <c r="F14" s="17" t="n">
        <v>29.28911320256965</v>
      </c>
      <c r="G14" s="17" t="n">
        <v>5.812950822319055</v>
      </c>
      <c r="H14" s="17" t="n">
        <v>292891.13</v>
      </c>
      <c r="I14" s="17" t="n">
        <v>58129.51</v>
      </c>
    </row>
    <row r="15">
      <c r="A15" s="17" t="n">
        <v>1990</v>
      </c>
      <c r="B15" s="39" t="n">
        <v>-4.5</v>
      </c>
      <c r="C15" s="39" t="n">
        <v>-3.1</v>
      </c>
      <c r="D15" s="39" t="n">
        <v>-1.4</v>
      </c>
      <c r="E15" s="17" t="n">
        <v>14000</v>
      </c>
      <c r="F15" s="17" t="n">
        <v>27.97110310845402</v>
      </c>
      <c r="G15" s="17" t="n">
        <v>5.632749346827165</v>
      </c>
      <c r="H15" s="17" t="n">
        <v>279711.03</v>
      </c>
      <c r="I15" s="17" t="n">
        <v>56327.49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3" t="inlineStr">
        <is>
          <t>year</t>
        </is>
      </c>
      <c r="B1" s="53" t="inlineStr">
        <is>
          <t>dyp_return_pct</t>
        </is>
      </c>
      <c r="C1" s="53" t="inlineStr">
        <is>
          <t>sp500_return_pct</t>
        </is>
      </c>
      <c r="D1" s="53" t="inlineStr">
        <is>
          <t>brk_return_pct</t>
        </is>
      </c>
      <c r="E1" s="53" t="inlineStr">
        <is>
          <t>notes</t>
        </is>
      </c>
      <c r="F1" s="53" t="inlineStr">
        <is>
          <t>dyp_cum_mult</t>
        </is>
      </c>
      <c r="G1" s="53" t="inlineStr">
        <is>
          <t>sp500_cum_mult</t>
        </is>
      </c>
      <c r="H1" s="53" t="inlineStr">
        <is>
          <t>brk_cum_mult</t>
        </is>
      </c>
    </row>
    <row r="2">
      <c r="A2" s="54" t="n">
        <v>2001</v>
      </c>
      <c r="B2" s="54" t="n">
        <v>285</v>
      </c>
      <c r="C2" s="54" t="n">
        <v>-11.9</v>
      </c>
      <c r="D2" s="54" t="n">
        <v>6.5</v>
      </c>
      <c r="E2" s="55" t="inlineStr">
        <is>
          <t>2001年底重仓网易(NTES)，股价0.8美元逆向入局</t>
        </is>
      </c>
      <c r="F2" s="54" t="n">
        <v>3.85</v>
      </c>
      <c r="G2" s="54" t="n">
        <v>0.881</v>
      </c>
      <c r="H2" s="54" t="n">
        <v>1.065</v>
      </c>
    </row>
    <row r="3">
      <c r="A3" s="54" t="n">
        <v>2002</v>
      </c>
      <c r="B3" s="54" t="n">
        <v>420</v>
      </c>
      <c r="C3" s="54" t="n">
        <v>-22.1</v>
      </c>
      <c r="D3" s="54" t="n">
        <v>-3.8</v>
      </c>
      <c r="E3" s="55" t="inlineStr">
        <is>
          <t>网易股价暴涨逾10倍，创造百倍复利神话</t>
        </is>
      </c>
      <c r="F3" s="54" t="n">
        <v>20.02</v>
      </c>
      <c r="G3" s="54" t="n">
        <v>0.686299</v>
      </c>
      <c r="H3" s="54" t="n">
        <v>1.02453</v>
      </c>
    </row>
    <row r="4">
      <c r="A4" s="54" t="n">
        <v>2003</v>
      </c>
      <c r="B4" s="54" t="n">
        <v>75</v>
      </c>
      <c r="C4" s="54" t="n">
        <v>28.7</v>
      </c>
      <c r="D4" s="54" t="n">
        <v>15.8</v>
      </c>
      <c r="E4" s="55" t="inlineStr">
        <is>
          <t>网易持仓部分兑现，逐步布局Umpqua等稳健标的</t>
        </is>
      </c>
      <c r="F4" s="54" t="n">
        <v>35.035</v>
      </c>
      <c r="G4" s="54" t="n">
        <v>0.883266813</v>
      </c>
      <c r="H4" s="54" t="n">
        <v>1.18640574</v>
      </c>
    </row>
    <row r="5">
      <c r="A5" s="54" t="n">
        <v>2004</v>
      </c>
      <c r="B5" s="54" t="n">
        <v>24.5</v>
      </c>
      <c r="C5" s="54" t="n">
        <v>10.9</v>
      </c>
      <c r="D5" s="54" t="n">
        <v>4.3</v>
      </c>
      <c r="E5" s="55" t="inlineStr">
        <is>
          <t>奠定买商业模式与买公司的核心底层哲学</t>
        </is>
      </c>
      <c r="F5" s="54" t="n">
        <v>43.618575</v>
      </c>
      <c r="G5" s="54" t="n">
        <v>0.979542895617</v>
      </c>
      <c r="H5" s="54" t="n">
        <v>1.23742118682</v>
      </c>
    </row>
    <row r="6">
      <c r="A6" s="54" t="n">
        <v>2005</v>
      </c>
      <c r="B6" s="54" t="n">
        <v>21</v>
      </c>
      <c r="C6" s="54" t="n">
        <v>4.9</v>
      </c>
      <c r="D6" s="54" t="n">
        <v>0.8</v>
      </c>
      <c r="E6" s="55" t="inlineStr">
        <is>
          <t>稳健价值复合增长</t>
        </is>
      </c>
      <c r="F6" s="54" t="n">
        <v>52.77847575</v>
      </c>
      <c r="G6" s="54" t="n">
        <v>1.027540497502233</v>
      </c>
      <c r="H6" s="54" t="n">
        <v>1.24732055631456</v>
      </c>
    </row>
    <row r="7">
      <c r="A7" s="54" t="n">
        <v>2006</v>
      </c>
      <c r="B7" s="54" t="n">
        <v>32.5</v>
      </c>
      <c r="C7" s="54" t="n">
        <v>15.8</v>
      </c>
      <c r="D7" s="54" t="n">
        <v>24.1</v>
      </c>
      <c r="E7" s="55" t="inlineStr">
        <is>
          <t>62万美元拍下巴菲特午餐，带黄峥赴宴</t>
        </is>
      </c>
      <c r="F7" s="54" t="n">
        <v>69.93148036875</v>
      </c>
      <c r="G7" s="54" t="n">
        <v>1.189891896107586</v>
      </c>
      <c r="H7" s="54" t="n">
        <v>1.547924810386369</v>
      </c>
    </row>
    <row r="8">
      <c r="A8" s="54" t="n">
        <v>2007</v>
      </c>
      <c r="B8" s="54" t="n">
        <v>28</v>
      </c>
      <c r="C8" s="54" t="n">
        <v>5.5</v>
      </c>
      <c r="D8" s="54" t="n">
        <v>28.7</v>
      </c>
      <c r="E8" s="55" t="inlineStr">
        <is>
          <t>提前储备大量现金与高确定性底仓</t>
        </is>
      </c>
      <c r="F8" s="54" t="n">
        <v>89.512294872</v>
      </c>
      <c r="G8" s="54" t="n">
        <v>1.255335950393503</v>
      </c>
      <c r="H8" s="54" t="n">
        <v>1.992179230967257</v>
      </c>
    </row>
    <row r="9">
      <c r="A9" s="54" t="n">
        <v>2008</v>
      </c>
      <c r="B9" s="54" t="n">
        <v>-38.5</v>
      </c>
      <c r="C9" s="54" t="n">
        <v>-37</v>
      </c>
      <c r="D9" s="54" t="n">
        <v>-31.8</v>
      </c>
      <c r="E9" s="55" t="inlineStr">
        <is>
          <t>次贷危机回撤，零杠杆安度周期，买入GE等</t>
        </is>
      </c>
      <c r="F9" s="54" t="n">
        <v>55.05006134628</v>
      </c>
      <c r="G9" s="54" t="n">
        <v>0.7908616487479067</v>
      </c>
      <c r="H9" s="54" t="n">
        <v>1.358666235519669</v>
      </c>
    </row>
    <row r="10">
      <c r="A10" s="54" t="n">
        <v>2009</v>
      </c>
      <c r="B10" s="54" t="n">
        <v>48.2</v>
      </c>
      <c r="C10" s="54" t="n">
        <v>26.5</v>
      </c>
      <c r="D10" s="54" t="n">
        <v>2.7</v>
      </c>
      <c r="E10" s="55" t="inlineStr">
        <is>
          <t>危机后周期强劲反弹</t>
        </is>
      </c>
      <c r="F10" s="54" t="n">
        <v>81.58419091518695</v>
      </c>
      <c r="G10" s="54" t="n">
        <v>1.000439985666102</v>
      </c>
      <c r="H10" s="54" t="n">
        <v>1.3953502238787</v>
      </c>
    </row>
    <row r="11">
      <c r="A11" s="54" t="n">
        <v>2010</v>
      </c>
      <c r="B11" s="54" t="n">
        <v>18.5</v>
      </c>
      <c r="C11" s="54" t="n">
        <v>15.1</v>
      </c>
      <c r="D11" s="54" t="n">
        <v>21.4</v>
      </c>
      <c r="E11" s="55" t="inlineStr">
        <is>
          <t>深入研究移动互联生态</t>
        </is>
      </c>
      <c r="F11" s="54" t="n">
        <v>96.67726623449654</v>
      </c>
      <c r="G11" s="54" t="n">
        <v>1.151506423501683</v>
      </c>
      <c r="H11" s="54" t="n">
        <v>1.693955171788741</v>
      </c>
    </row>
    <row r="12">
      <c r="A12" s="54" t="n">
        <v>2011</v>
      </c>
      <c r="B12" s="54" t="n">
        <v>12</v>
      </c>
      <c r="C12" s="54" t="n">
        <v>2.1</v>
      </c>
      <c r="D12" s="54" t="n">
        <v>-4.7</v>
      </c>
      <c r="E12" s="55" t="inlineStr">
        <is>
          <t>2011年1月正式建仓苹果(AAPL)，成本约13.7美元</t>
        </is>
      </c>
      <c r="F12" s="54" t="n">
        <v>108.2785381826361</v>
      </c>
      <c r="G12" s="54" t="n">
        <v>1.175688058395219</v>
      </c>
      <c r="H12" s="54" t="n">
        <v>1.61433927871467</v>
      </c>
    </row>
    <row r="13">
      <c r="A13" s="54" t="n">
        <v>2012</v>
      </c>
      <c r="B13" s="54" t="n">
        <v>28.6</v>
      </c>
      <c r="C13" s="54" t="n">
        <v>16</v>
      </c>
      <c r="D13" s="54" t="n">
        <v>16.8</v>
      </c>
      <c r="E13" s="55" t="inlineStr">
        <is>
          <t>苹果股价大涨；年末白酒塑化剂危机建仓茅台</t>
        </is>
      </c>
      <c r="F13" s="54" t="n">
        <v>139.2462001028701</v>
      </c>
      <c r="G13" s="54" t="n">
        <v>1.363798147738454</v>
      </c>
      <c r="H13" s="54" t="n">
        <v>1.885548277538735</v>
      </c>
    </row>
    <row r="14">
      <c r="A14" s="54" t="n">
        <v>2013</v>
      </c>
      <c r="B14" s="54" t="n">
        <v>15.2</v>
      </c>
      <c r="C14" s="54" t="n">
        <v>32.4</v>
      </c>
      <c r="D14" s="54" t="n">
        <v>32.7</v>
      </c>
      <c r="E14" s="55" t="inlineStr">
        <is>
          <t>茅台跌至120元继续大举加仓</t>
        </is>
      </c>
      <c r="F14" s="54" t="n">
        <v>160.4116225185063</v>
      </c>
      <c r="G14" s="54" t="n">
        <v>1.805668747605712</v>
      </c>
      <c r="H14" s="54" t="n">
        <v>2.502122564293901</v>
      </c>
    </row>
    <row r="15">
      <c r="A15" s="54" t="n">
        <v>2014</v>
      </c>
      <c r="B15" s="54" t="n">
        <v>34.8</v>
      </c>
      <c r="C15" s="54" t="n">
        <v>13.7</v>
      </c>
      <c r="D15" s="54" t="n">
        <v>27</v>
      </c>
      <c r="E15" s="55" t="inlineStr">
        <is>
          <t>苹果发布iPhone 6，茅台迎来基本面底部拐点</t>
        </is>
      </c>
      <c r="F15" s="54" t="n">
        <v>216.2348671549465</v>
      </c>
      <c r="G15" s="54" t="n">
        <v>2.053045366027696</v>
      </c>
      <c r="H15" s="54" t="n">
        <v>3.177695656653254</v>
      </c>
    </row>
    <row r="16">
      <c r="A16" s="54" t="n">
        <v>2015</v>
      </c>
      <c r="B16" s="54" t="n">
        <v>14.5</v>
      </c>
      <c r="C16" s="54" t="n">
        <v>1.4</v>
      </c>
      <c r="D16" s="54" t="n">
        <v>-12.5</v>
      </c>
      <c r="E16" s="55" t="inlineStr">
        <is>
          <t>穿越A股大幅波动，核心资产极为坚挺</t>
        </is>
      </c>
      <c r="F16" s="54" t="n">
        <v>247.5889228924138</v>
      </c>
      <c r="G16" s="54" t="n">
        <v>2.081788001152083</v>
      </c>
      <c r="H16" s="54" t="n">
        <v>2.780483699571597</v>
      </c>
    </row>
    <row r="17">
      <c r="A17" s="54" t="n">
        <v>2016</v>
      </c>
      <c r="B17" s="54" t="n">
        <v>22</v>
      </c>
      <c r="C17" s="54" t="n">
        <v>12</v>
      </c>
      <c r="D17" s="54" t="n">
        <v>23.4</v>
      </c>
      <c r="E17" s="55" t="inlineStr">
        <is>
          <t>继续增持苹果，茅台进入主升浪</t>
        </is>
      </c>
      <c r="F17" s="54" t="n">
        <v>302.0584859287448</v>
      </c>
      <c r="G17" s="54" t="n">
        <v>2.331602561290333</v>
      </c>
      <c r="H17" s="54" t="n">
        <v>3.431116885271351</v>
      </c>
    </row>
    <row r="18">
      <c r="A18" s="54" t="n">
        <v>2017</v>
      </c>
      <c r="B18" s="54" t="n">
        <v>46.8</v>
      </c>
      <c r="C18" s="54" t="n">
        <v>21.8</v>
      </c>
      <c r="D18" s="54" t="n">
        <v>21.9</v>
      </c>
      <c r="E18" s="55" t="inlineStr">
        <is>
          <t>科技与消费龙头全面爆发，苹果与茅台戴维斯双击</t>
        </is>
      </c>
      <c r="F18" s="54" t="n">
        <v>443.4218573433973</v>
      </c>
      <c r="G18" s="54" t="n">
        <v>2.839891919651626</v>
      </c>
      <c r="H18" s="54" t="n">
        <v>4.182531483145777</v>
      </c>
    </row>
    <row r="19">
      <c r="A19" s="54" t="n">
        <v>2018</v>
      </c>
      <c r="B19" s="54" t="n">
        <v>-15.4</v>
      </c>
      <c r="C19" s="54" t="n">
        <v>-4.4</v>
      </c>
      <c r="D19" s="54" t="n">
        <v>2.8</v>
      </c>
      <c r="E19" s="55" t="inlineStr">
        <is>
          <t>贸易摩擦与市场调整，开始建仓腾讯(0700.HK)</t>
        </is>
      </c>
      <c r="F19" s="54" t="n">
        <v>375.1348913125141</v>
      </c>
      <c r="G19" s="54" t="n">
        <v>2.714936675186954</v>
      </c>
      <c r="H19" s="54" t="n">
        <v>4.299642364673859</v>
      </c>
    </row>
    <row r="20">
      <c r="A20" s="54" t="n">
        <v>2019</v>
      </c>
      <c r="B20" s="54" t="n">
        <v>52.3</v>
      </c>
      <c r="C20" s="54" t="n">
        <v>31.5</v>
      </c>
      <c r="D20" s="54" t="n">
        <v>11</v>
      </c>
      <c r="E20" s="55" t="inlineStr">
        <is>
          <t>苹果全年大涨86%，成立H&amp;H实体向SEC提交13F</t>
        </is>
      </c>
      <c r="F20" s="54" t="n">
        <v>571.3304394689591</v>
      </c>
      <c r="G20" s="54" t="n">
        <v>3.570141727870844</v>
      </c>
      <c r="H20" s="54" t="n">
        <v>4.772603024787983</v>
      </c>
    </row>
    <row r="21">
      <c r="A21" s="54" t="n">
        <v>2020</v>
      </c>
      <c r="B21" s="54" t="n">
        <v>65.40000000000001</v>
      </c>
      <c r="C21" s="54" t="n">
        <v>18.4</v>
      </c>
      <c r="D21" s="54" t="n">
        <v>2.4</v>
      </c>
      <c r="E21" s="55" t="inlineStr">
        <is>
          <t>全球流动性释放，苹果市值突破2万亿</t>
        </is>
      </c>
      <c r="F21" s="54" t="n">
        <v>944.9805468816584</v>
      </c>
      <c r="G21" s="54" t="n">
        <v>4.22704780579908</v>
      </c>
      <c r="H21" s="54" t="n">
        <v>4.887145497382895</v>
      </c>
    </row>
    <row r="22">
      <c r="A22" s="54" t="n">
        <v>2021</v>
      </c>
      <c r="B22" s="54" t="n">
        <v>8.5</v>
      </c>
      <c r="C22" s="54" t="n">
        <v>28.7</v>
      </c>
      <c r="D22" s="54" t="n">
        <v>29.6</v>
      </c>
      <c r="E22" s="55" t="inlineStr">
        <is>
          <t>腾讯大跌持续越跌越买，卖Put策略接筹码</t>
        </is>
      </c>
      <c r="F22" s="54" t="n">
        <v>1025.303893366599</v>
      </c>
      <c r="G22" s="54" t="n">
        <v>5.440210526063416</v>
      </c>
      <c r="H22" s="54" t="n">
        <v>6.333740564608233</v>
      </c>
    </row>
    <row r="23">
      <c r="A23" s="54" t="n">
        <v>2022</v>
      </c>
      <c r="B23" s="54" t="n">
        <v>-28.2</v>
      </c>
      <c r="C23" s="54" t="n">
        <v>-18.1</v>
      </c>
      <c r="D23" s="54" t="n">
        <v>4</v>
      </c>
      <c r="E23" s="55" t="inlineStr">
        <is>
          <t>科技股调整与中概底，持续加仓腾讯与拼多多</t>
        </is>
      </c>
      <c r="F23" s="54" t="n">
        <v>736.1681954372182</v>
      </c>
      <c r="G23" s="54" t="n">
        <v>4.455532420845937</v>
      </c>
      <c r="H23" s="54" t="n">
        <v>6.587090187192563</v>
      </c>
    </row>
    <row r="24">
      <c r="A24" s="54" t="n">
        <v>2023</v>
      </c>
      <c r="B24" s="54" t="n">
        <v>48.6</v>
      </c>
      <c r="C24" s="54" t="n">
        <v>26.3</v>
      </c>
      <c r="D24" s="54" t="n">
        <v>15.8</v>
      </c>
      <c r="E24" s="55" t="inlineStr">
        <is>
          <t>拼多多与苹果双双大涨，组合规模破百亿美元</t>
        </is>
      </c>
      <c r="F24" s="54" t="n">
        <v>1093.945938419706</v>
      </c>
      <c r="G24" s="54" t="n">
        <v>5.627337447528418</v>
      </c>
      <c r="H24" s="54" t="n">
        <v>7.627850436768987</v>
      </c>
    </row>
    <row r="25">
      <c r="A25" s="54" t="n">
        <v>2024</v>
      </c>
      <c r="B25" s="54" t="n">
        <v>26.5</v>
      </c>
      <c r="C25" s="54" t="n">
        <v>25</v>
      </c>
      <c r="D25" s="54" t="n">
        <v>27.2</v>
      </c>
      <c r="E25" s="55" t="inlineStr">
        <is>
          <t>H&amp;H持仓规模达165亿美元，减持部分英伟达</t>
        </is>
      </c>
      <c r="F25" s="54" t="n">
        <v>1383.841612100928</v>
      </c>
      <c r="G25" s="54" t="n">
        <v>7.034171809410522</v>
      </c>
      <c r="H25" s="54" t="n">
        <v>9.702625755570152</v>
      </c>
    </row>
    <row r="26">
      <c r="A26" s="54" t="n">
        <v>2025</v>
      </c>
      <c r="B26" s="54" t="n">
        <v>19.8</v>
      </c>
      <c r="C26" s="54" t="n">
        <v>14.5</v>
      </c>
      <c r="D26" s="54" t="n">
        <v>16.2</v>
      </c>
      <c r="E26" s="55" t="inlineStr">
        <is>
          <t>高位均衡配置，增持伯克希尔底仓</t>
        </is>
      </c>
      <c r="F26" s="54" t="n">
        <v>1657.842251296912</v>
      </c>
      <c r="G26" s="54" t="n">
        <v>8.054126721775049</v>
      </c>
      <c r="H26" s="54" t="n">
        <v>11.27445112797252</v>
      </c>
    </row>
    <row r="27">
      <c r="A27" s="54" t="n">
        <v>2026</v>
      </c>
      <c r="B27" s="54" t="n">
        <v>11.2</v>
      </c>
      <c r="C27" s="54" t="n">
        <v>8.199999999999999</v>
      </c>
      <c r="D27" s="54" t="n">
        <v>9.5</v>
      </c>
      <c r="E27" s="55" t="inlineStr">
        <is>
          <t>截至2026Q2 13F规模达191亿美元，苹果占41%</t>
        </is>
      </c>
      <c r="F27" s="54" t="n">
        <v>1843.520583442166</v>
      </c>
      <c r="G27" s="54" t="n">
        <v>8.714565112960603</v>
      </c>
      <c r="H27" s="54" t="n">
        <v>12.3455239851299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2026-09-08T04:48:58Z</dcterms:created>
  <dcterms:modified xmlns:dcterms="http://purl.org/dc/terms/" xmlns:xsi="http://www.w3.org/2001/XMLSchema-instance" xsi:type="dcterms:W3CDTF">2026-09-08T07:39:05Z</dcterms:modified>
</cp:coreProperties>
</file>