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 tabRatio="957" activeTab="5"/>
  </bookViews>
  <sheets>
    <sheet name="汇总" sheetId="1" r:id="rId1"/>
    <sheet name="L1 - 基金经理背景特征" sheetId="2" r:id="rId2"/>
    <sheet name="L2 - 持仓偏离与Active Share" sheetId="3" r:id="rId3"/>
    <sheet name="L3 - 交易行为与Return Gap" sheetId="4" r:id="rId4"/>
    <sheet name="L4 - 行为偏差与认知" sheetId="5" r:id="rId5"/>
    <sheet name="L5 - AI预测与可预测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<sst xmlns="http://schemas.openxmlformats.org/spreadsheetml/2006/main" count="938" uniqueCount="411">
  <si>
    <t>基金经理行为画像研究 — 文献分类汇总</t>
  </si>
  <si>
    <t>层次</t>
  </si>
  <si>
    <t>主题</t>
  </si>
  <si>
    <t>文献数量</t>
  </si>
  <si>
    <t>已下载</t>
  </si>
  <si>
    <t>未下载(附链接)</t>
  </si>
  <si>
    <t>L1</t>
  </si>
  <si>
    <t>基金经理背景特征(从业年限/教育/职业经历)</t>
  </si>
  <si>
    <t>L2</t>
  </si>
  <si>
    <t>持仓偏离与Active Share</t>
  </si>
  <si>
    <t>L3</t>
  </si>
  <si>
    <t>交易行为与Return Gap(隐形交易)</t>
  </si>
  <si>
    <t>L4</t>
  </si>
  <si>
    <t>行为偏差与认知(过度自信/损失厌恶/处置效应/羊群)</t>
  </si>
  <si>
    <t>L5</t>
  </si>
  <si>
    <t>AI预测与可预测性(机器学习/模仿)</t>
  </si>
  <si>
    <t>合计</t>
  </si>
  <si>
    <t/>
  </si>
  <si>
    <t>说明:</t>
  </si>
  <si>
    <t>1. 已下载的PDF文件存放在 literature/L1~L5 子目录中</t>
  </si>
  <si>
    <t>2. 未下载的文献大多因订阅墙(付费)无法直接获取，请在DOI/SSRN链接处查阅</t>
  </si>
  <si>
    <t>3. 中文文献需通过知网(CNKI)等平台获取</t>
  </si>
  <si>
    <t>4. NBER论文可免费注册邮箱后下载PDF</t>
  </si>
  <si>
    <t>L1 - 基金经理背景特征</t>
  </si>
  <si>
    <t>序号</t>
  </si>
  <si>
    <t>标题</t>
  </si>
  <si>
    <t>作者</t>
  </si>
  <si>
    <t>年份</t>
  </si>
  <si>
    <t>期刊/来源</t>
  </si>
  <si>
    <t>DOI</t>
  </si>
  <si>
    <t>下载状态</t>
  </si>
  <si>
    <t>下载链接/DOI链接</t>
  </si>
  <si>
    <t>关键词</t>
  </si>
  <si>
    <t>语言</t>
  </si>
  <si>
    <t>重要性</t>
  </si>
  <si>
    <t>Career Concerns of Mutual Fund Managers</t>
  </si>
  <si>
    <t>Chevalier, Judith &amp; Glenn Ellison</t>
  </si>
  <si>
    <t>Quarterly Journal of Economics / NBER w5852</t>
  </si>
  <si>
    <t>已下载PDF</t>
  </si>
  <si>
    <t>NBER: https://www.nber.org/papers/w5852</t>
  </si>
  <si>
    <t>职业忧虑; 经理更保守; 业绩差导致离职</t>
  </si>
  <si>
    <t>EN</t>
  </si>
  <si>
    <t>核心</t>
  </si>
  <si>
    <t>Performance persistence of experienced mutual fund managers</t>
  </si>
  <si>
    <t>Porter, Gary E. &amp; Jack W. Trifts</t>
  </si>
  <si>
    <t>Working Paper</t>
  </si>
  <si>
    <t>未下载</t>
  </si>
  <si>
    <t>Google Scholar搜索</t>
  </si>
  <si>
    <t>经验丰富的经理; 业绩持续性</t>
  </si>
  <si>
    <t>重要</t>
  </si>
  <si>
    <t>Does Herding Behavior Reveal Skill? An Analysis of Mutual Fund Performance</t>
  </si>
  <si>
    <t>Jiang, Hao &amp; Michela Verardo</t>
  </si>
  <si>
    <t>Working Paper (SSRN)</t>
  </si>
  <si>
    <t>10.2139/ssrn.2248671</t>
  </si>
  <si>
    <t>SSRN: https://papers.ssrn.com/sol3/papers.cfm?abstract_id=2248671</t>
  </si>
  <si>
    <t>羊群行为; 管理经验; 业绩</t>
  </si>
  <si>
    <t>An Empirical Analysis of the Impact of Fund Manager Personal Characteristics on Fund Performance</t>
  </si>
  <si>
    <t>Meng, Lingze</t>
  </si>
  <si>
    <t>个人特征; 教育背景; 基金业绩</t>
  </si>
  <si>
    <t>一般</t>
  </si>
  <si>
    <t>Work Experience and Managerial Performance: Evidence from Mutual Fund Managers</t>
  </si>
  <si>
    <t>Huang, Songnan; Jing Shi; Lu Zheng; Qiaqiao Zhu</t>
  </si>
  <si>
    <t>工作经历; 职业路径; 业绩</t>
  </si>
  <si>
    <t>The Performance of Mutual Funds in the Period 1945-1964</t>
  </si>
  <si>
    <t>Jensen, Michael C.</t>
  </si>
  <si>
    <t>Journal of Finance</t>
  </si>
  <si>
    <t>JSTOR搜索</t>
  </si>
  <si>
    <t>Jensen's Alpha; 风险调整收益; 基金业绩</t>
  </si>
  <si>
    <t>经典</t>
  </si>
  <si>
    <t>Fund Flows, Performance, Managerial Career Concerns, and Risk-Taking</t>
  </si>
  <si>
    <t>Hu, P.; Jayant R. Kale; M. Pagani; Ajay Subramanian</t>
  </si>
  <si>
    <t>职业忧虑; 风险承担; 基金流动</t>
  </si>
  <si>
    <t>Career concerns in financial markets</t>
  </si>
  <si>
    <t>Dasgupta, Amil &amp; Andrea Prat</t>
  </si>
  <si>
    <t>职业忧虑; 隐含激励; 基金经理</t>
  </si>
  <si>
    <t>The impact of hedge fund managers career concerns on their returns, risk-taking behavior, and performance persistence</t>
  </si>
  <si>
    <t>Boyson, Nicole M.</t>
  </si>
  <si>
    <t>对冲基金; 职业忧虑; 风险</t>
  </si>
  <si>
    <t>CFA, MBA or Both: Further Evidence on Mutual Fund Performance</t>
  </si>
  <si>
    <t>Fan, Yuhong &amp; M. Imtiaz Mazumder</t>
  </si>
  <si>
    <t>CFA; MBA; 教育背景</t>
  </si>
  <si>
    <t>Family Descent as a Signal of Managerial Quality: Evidence from Mutual Funds</t>
  </si>
  <si>
    <t>Chuprinin, Oleg &amp; Denis Sosyura</t>
  </si>
  <si>
    <t>家族背景; 管理能力; 信号</t>
  </si>
  <si>
    <t>The profile of a Polish mutual fund manager</t>
  </si>
  <si>
    <t>Filip, Dariusz</t>
  </si>
  <si>
    <t>经理画像; 教育背景; 经验</t>
  </si>
  <si>
    <t>Gender and Human Capital of Mutual Fund Managers and the Operating Efficiency</t>
  </si>
  <si>
    <t>Wang, Sheng-Pen</t>
  </si>
  <si>
    <t>性别; 人力资本; 运营效率</t>
  </si>
  <si>
    <t>Manager characteristics and real estate mutual fund returns, risk and fees</t>
  </si>
  <si>
    <t>Philpot, James &amp; Craig A. Peterson</t>
  </si>
  <si>
    <t>Managerial Finance</t>
  </si>
  <si>
    <t>10.1108/03074350610710481</t>
  </si>
  <si>
    <t>DOI: https://doi.org/10.1108/03074350610710481</t>
  </si>
  <si>
    <t>教育; 经验; 专业认证</t>
  </si>
  <si>
    <t>基金经理个性特征与盈利能力关系的实证研究——基于中国证券市场的数据</t>
  </si>
  <si>
    <t>于静</t>
  </si>
  <si>
    <t>期刊</t>
  </si>
  <si>
    <t>知网搜索</t>
  </si>
  <si>
    <t>投资经验; 名校; MBA; 海外背景; 明星基金</t>
  </si>
  <si>
    <t>ZH</t>
  </si>
  <si>
    <t>An Empirical Analysis of the Impact of Fund Manager Personal Characteristics on Fund Performance in China Fund Market</t>
  </si>
  <si>
    <t>Li, Jialin &amp; Siying Li</t>
  </si>
  <si>
    <t>中国基金市场; 个人特征; DEA模型</t>
  </si>
  <si>
    <t>EN(中国数据)</t>
  </si>
  <si>
    <t>基金经理个人特征与基金业绩关系的实证检验</t>
  </si>
  <si>
    <t>吴栩, 许林</t>
  </si>
  <si>
    <t>个人特征; 基金业绩; 股市行情</t>
  </si>
  <si>
    <t>BOYS WILL BE BOYS: Gender, Overconfidence, and Common Stock Investment</t>
  </si>
  <si>
    <t>Barber, Brad &amp; Terrance Odean</t>
  </si>
  <si>
    <t>Quarterly Journal of Economics</t>
  </si>
  <si>
    <t>JSTOR: https://www.jstor.org/stable/2697921</t>
  </si>
  <si>
    <t>性别; 过度自信; 交易</t>
  </si>
  <si>
    <t>L2 - 持仓偏离与Active Share</t>
  </si>
  <si>
    <t>How Active is Your Fund Manager? A New Measure That Predicts Performance</t>
  </si>
  <si>
    <t>Cremers, Martijn &amp; Antti Petajisto</t>
  </si>
  <si>
    <t>Review of Financial Studies / SSRN</t>
  </si>
  <si>
    <t>10.2139/ssrn.891719</t>
  </si>
  <si>
    <t>未下载(订阅墙)</t>
  </si>
  <si>
    <t>SSRN: https://papers.ssrn.com/sol3/papers.cfm?abstract_id=891719
DOI: https://doi.org/10.1093/rfs/hhp063</t>
  </si>
  <si>
    <t>Active Share; 基金业绩; 预测</t>
  </si>
  <si>
    <t>Active Share and Mutual Fund Performance</t>
  </si>
  <si>
    <t>Petajisto, Antti</t>
  </si>
  <si>
    <t>Financial Analysts Journal</t>
  </si>
  <si>
    <t>10.2469/faj.v69.n4.7</t>
  </si>
  <si>
    <t>DOI: https://doi.org/10.2469/faj.v69.n4.7</t>
  </si>
  <si>
    <t>Active Share; 主动管理; 业绩</t>
  </si>
  <si>
    <t>Author Response to "Deactivating Active Share"</t>
  </si>
  <si>
    <t>10.2469/faj.v72.n4.2</t>
  </si>
  <si>
    <t>DOI: https://doi.org/10.2469/faj.v72.n4.2</t>
  </si>
  <si>
    <t>Active Share; 争论; 回应</t>
  </si>
  <si>
    <t>Beyond active share: Boosting fund performance through common holdings with same-benchmark mutual funds</t>
  </si>
  <si>
    <t>Wang, Danxia</t>
  </si>
  <si>
    <t>International Review of Financial Analysis</t>
  </si>
  <si>
    <t>10.1016/j.irfa.2024.103095</t>
  </si>
  <si>
    <t>DOI: https://doi.org/10.1016/j.irfa.2024.103095</t>
  </si>
  <si>
    <t>Active Share; 共同持仓; 业绩</t>
  </si>
  <si>
    <t>Information Content When Mutual Funds Deviate from Benchmarks</t>
  </si>
  <si>
    <t>Jiang, Hao; Marno Verbeek; Yu Wang</t>
  </si>
  <si>
    <t>持仓偏离; 基准; 信息含量</t>
  </si>
  <si>
    <t>On the Industry Concentration of Actively Managed Equity Mutual Funds</t>
  </si>
  <si>
    <t>Kacperczyk, Marcin T.; Clemens Sialm; Lu Zheng</t>
  </si>
  <si>
    <t>Journal of Finance / SSRN</t>
  </si>
  <si>
    <t>10.2139/ssrn.353420</t>
  </si>
  <si>
    <t>SSRN: https://papers.ssrn.com/sol3/papers.cfm?abstract_id=353420</t>
  </si>
  <si>
    <t>行业集中度; 信息优势; 业绩</t>
  </si>
  <si>
    <t>Information Content of Mutual Fund Portfolio Disclosure</t>
  </si>
  <si>
    <t>Wang, Yu</t>
  </si>
  <si>
    <t>组合披露; 信息含量; Active Share</t>
  </si>
  <si>
    <t>Fund Manager Active Share, Overconfidence and Investment Performance</t>
  </si>
  <si>
    <t>Jin, Liang; Arman Eshraghi; Richard Taffler; Amit Goyal</t>
  </si>
  <si>
    <t>Active Share; 过度自信; 业绩</t>
  </si>
  <si>
    <t>A study of idiosyncratic volatility in mutual fund performance</t>
  </si>
  <si>
    <t>Phan, Trang</t>
  </si>
  <si>
    <t>特质波动率; Active Share; 业绩可预测性</t>
  </si>
  <si>
    <t>The Volatility of Mutual Fund Performance</t>
  </si>
  <si>
    <t>Livingston, Miles; Ping Yao; Lei Zhou</t>
  </si>
  <si>
    <t>业绩波动; Active Share; 主动管理</t>
  </si>
  <si>
    <t>An Analysis of the Portfolio Deviations from a Benchmark</t>
  </si>
  <si>
    <t>Guimond, Jean-Francois</t>
  </si>
  <si>
    <t>组合偏离; 基准; 异常收益</t>
  </si>
  <si>
    <t>On the Demand for High-Beta Stocks: Evidence from Mutual Funds</t>
  </si>
  <si>
    <t>Christoffersen, Susan E. K. &amp; Mikhail Simutin</t>
  </si>
  <si>
    <t>Working Paper / SSRN</t>
  </si>
  <si>
    <t>10.2139/ssrn.2022266</t>
  </si>
  <si>
    <t>SSRN: https://papers.ssrn.com/sol3/papers.cfm?abstract_id=2022266</t>
  </si>
  <si>
    <t>高Beta股; Active Share; 基金需求</t>
  </si>
  <si>
    <t>Look-Ahead Benchmark Bias in Portfolio Performance Evaluation</t>
  </si>
  <si>
    <t>Daniel, Gilles; Didier Sornette; Peter Woehrmann</t>
  </si>
  <si>
    <t>Journal of Portfolio Management</t>
  </si>
  <si>
    <t>10.3905/jpm.2009.36.1.121</t>
  </si>
  <si>
    <t>DOI: https://doi.org/10.3905/jpm.2009.36.1.121</t>
  </si>
  <si>
    <t>基准偏差; 前瞻性偏差; 业绩评价</t>
  </si>
  <si>
    <t>Motivated monitors: The importance of institutional investors portfolio weights</t>
  </si>
  <si>
    <t>Fich, E. M.; J. Harford &amp; A. Tran</t>
  </si>
  <si>
    <t>机构投资者; Active Share; 监督</t>
  </si>
  <si>
    <t>Active versus passive investing in emerging markets</t>
  </si>
  <si>
    <t>Boganes, Henning &amp; Alexander Vium Olesen</t>
  </si>
  <si>
    <t>主动vs被动; 新兴市场; Active Share</t>
  </si>
  <si>
    <t>MUTUAL FUND PERFORMANCE</t>
  </si>
  <si>
    <t>Sharpe, William F. &amp; Jack L. Treynor</t>
  </si>
  <si>
    <t>Reprint</t>
  </si>
  <si>
    <t>基金业绩; CAPM; 经典</t>
  </si>
  <si>
    <t>The Persistence of Mutual Fund Performance</t>
  </si>
  <si>
    <t>Grinblatt, Mark &amp; Sheridan Titman</t>
  </si>
  <si>
    <t>业绩持续性; 基金经理能力</t>
  </si>
  <si>
    <t>Asset Pricing at the Millennium</t>
  </si>
  <si>
    <t>Campbell, J.</t>
  </si>
  <si>
    <t>资产定价; 基金业绩; 综述</t>
  </si>
  <si>
    <t>Essays on mutual fund underperformance</t>
  </si>
  <si>
    <t>Jin, Liang</t>
  </si>
  <si>
    <t>PhD Dissertation</t>
  </si>
  <si>
    <t>基金低业绩; Active Share; 过度自信</t>
  </si>
  <si>
    <t>L3 - 交易行为与Return Gap</t>
  </si>
  <si>
    <t>Unobserved Actions of Mutual Funds</t>
  </si>
  <si>
    <t>Review of Financial Studies / NBER w11765</t>
  </si>
  <si>
    <t>10.1093/rfs/hhl041</t>
  </si>
  <si>
    <t>NBER: https://www.nber.org/papers/w11765
DOI: https://doi.org/10.1093/rfs/hhl041</t>
  </si>
  <si>
    <t>Return Gap; 隐形交易; 不可观测行为; 业绩预测</t>
  </si>
  <si>
    <t>Once a Trader, Always a Trader: The Role of Traders in Fund Management</t>
  </si>
  <si>
    <t>Cici, Gjergji; Philipp Schuster; Franziska Weishaupt</t>
  </si>
  <si>
    <t>交易员; Return Gap; 基金管理</t>
  </si>
  <si>
    <t>Trading Efficiency of Fund Families: Impact on Fund Performance and Investment Behavior</t>
  </si>
  <si>
    <t>Cici, Gjergji; Laura K. Dahm; Alexander Kempf</t>
  </si>
  <si>
    <t>交易效率; Return Gap; 基金家族</t>
  </si>
  <si>
    <t>Unobserved Actions of Mutual Funds (CFA Digest)</t>
  </si>
  <si>
    <t>Dunham, Lee M.</t>
  </si>
  <si>
    <t>CFA Digest</t>
  </si>
  <si>
    <t>10.2469/dig.v39.n3.4</t>
  </si>
  <si>
    <t>DOI: https://doi.org/10.2469/dig.v39.n3.4</t>
  </si>
  <si>
    <t>Return Gap; 不可观测行为; 摘要</t>
  </si>
  <si>
    <t>CENTRE FOR ECONOMETRIC ANALYSIS (Return Gap section)</t>
  </si>
  <si>
    <t>Da, Zhi; Pengjie Gao; Ravi Jagannathan</t>
  </si>
  <si>
    <t>Return Gap; 流动性提供; 做市</t>
  </si>
  <si>
    <t>Mutual Fund Characteristics, Fund Flows, Cash Management and Performance</t>
  </si>
  <si>
    <t>Zhou, You</t>
  </si>
  <si>
    <t>Return Gap; 中国vs美国; 基金特征</t>
  </si>
  <si>
    <t>EN(中美对比)</t>
  </si>
  <si>
    <t>Empirical Studies on Actively Managed Mutual Funds</t>
  </si>
  <si>
    <t>Dyakov, Teodor Chavdarov</t>
  </si>
  <si>
    <t>Return Gap; 组合披露; 成本收益</t>
  </si>
  <si>
    <t>The Road Less Traveled: Strategy Distinctiveness and Hedge Fund Performance</t>
  </si>
  <si>
    <t>Sun, Zheng; Ashley Wang; Lu Zheng</t>
  </si>
  <si>
    <t>策略独特性; Return Gap; 对冲基金</t>
  </si>
  <si>
    <t>Are Star Funds Really Shining? Cross-Trading and Performance Shifting in Mutual Fund Families</t>
  </si>
  <si>
    <t>Eisele, Alexander; Tamara Nefedova; Gianpaolo Parise</t>
  </si>
  <si>
    <t>交叉交易; 业绩转移; 不可观测行为</t>
  </si>
  <si>
    <t>Mutual fund managers behavior in derivatives: evidence from Taiwan</t>
  </si>
  <si>
    <t>Lai, Hung-Cheng</t>
  </si>
  <si>
    <t>衍生品交易; 基金经理行为; 台湾</t>
  </si>
  <si>
    <t>EN(台湾数据)</t>
  </si>
  <si>
    <t>Informative Covariates, False Discoveries and Mutual Fund Performance</t>
  </si>
  <si>
    <t>Hsu, Po-Hsuan; Ioannis Kyriakou; Tren Ma; Georgios Sermpinis</t>
  </si>
  <si>
    <t>Return Gap; 信息协变量; 业绩</t>
  </si>
  <si>
    <t>Interim Trading Bias in the Performance Evaluation of Equity Mutual Funds</t>
  </si>
  <si>
    <t>Chretien, Stephane &amp; Ali Ghali</t>
  </si>
  <si>
    <t>期间交易偏差; Return Gap; 业绩评价</t>
  </si>
  <si>
    <t>Does Trading by ETF and Mutual Fund Investors Hurt Performance?</t>
  </si>
  <si>
    <t>Madhavan, Ananth &amp; A. Sobczyk</t>
  </si>
  <si>
    <t>Return Gap; 资金加权收益; 交易</t>
  </si>
  <si>
    <t>The Impact of Managers Multiple Team Membership on Fund Performance</t>
  </si>
  <si>
    <t>Chen, Jean; Li Xie; Si Zhou</t>
  </si>
  <si>
    <t>Return Gap; 多团队管理; 业绩</t>
  </si>
  <si>
    <t>Mutual Fund Performance and the Incentive to Generate Alpha</t>
  </si>
  <si>
    <t>Del Guercio, Diane &amp; Jonathan Reuter</t>
  </si>
  <si>
    <t>Return Gap; Alpha激励; 基金业绩</t>
  </si>
  <si>
    <t>基金未公开的信息:隐形交易与投资业绩</t>
  </si>
  <si>
    <t>申宇, 赵静梅, 何欣</t>
  </si>
  <si>
    <t>金融研究</t>
  </si>
  <si>
    <t>隐形交易; 收益缺口; 私有信息; Fama悖论</t>
  </si>
  <si>
    <t>核心(中文)</t>
  </si>
  <si>
    <t>我国开放式股票型投资基金隐性行为的实证研究</t>
  </si>
  <si>
    <t>杨烨</t>
  </si>
  <si>
    <t>隐性行为; 收益缺口; 持仓集中度</t>
  </si>
  <si>
    <t>重要(中文)</t>
  </si>
  <si>
    <t>中国股票型基金季度内不可观测行为研究</t>
  </si>
  <si>
    <t>周少甫, 解洪涛</t>
  </si>
  <si>
    <t>不可观测行为; 收益差值; Fama-French</t>
  </si>
  <si>
    <t>个体沟通、交易行为与信息优势:基于共同基金访问的证据</t>
  </si>
  <si>
    <t>孔东民, 刘莎莎, 陈小林, 邢精平</t>
  </si>
  <si>
    <t>共同基金; 交易行为; 信息优势; 访问</t>
  </si>
  <si>
    <t>一般(中文)</t>
  </si>
  <si>
    <t>Institutional trading and stock return autocorrelation</t>
  </si>
  <si>
    <t>Gebka, Bartosz; Harald Henke; Martin T. Bohl</t>
  </si>
  <si>
    <t>Global Finance Journal</t>
  </si>
  <si>
    <t>10.1016/j.gfj.2006.01.007</t>
  </si>
  <si>
    <t>DOI: https://doi.org/10.1016/j.gfj.2006.01.007</t>
  </si>
  <si>
    <t>机构交易; 股票收益自相关</t>
  </si>
  <si>
    <t>Another puzzle: the growth in actively managed mutual funds</t>
  </si>
  <si>
    <t>Gruber, M.</t>
  </si>
  <si>
    <t>主动管理基金增长; Fama悖论</t>
  </si>
  <si>
    <t>Trading is Hazardous to Your Wealth: The Common Stock Investment Performance of Individual Investors</t>
  </si>
  <si>
    <t>American Economic Review</t>
  </si>
  <si>
    <t>过度交易; 个体投资者; 业绩惩罚</t>
  </si>
  <si>
    <t>Are Investors Reluctant to Realize Their Losses?</t>
  </si>
  <si>
    <t>Odean, Terrance</t>
  </si>
  <si>
    <t>处置效应; 售盈持亏; 损失厌恶</t>
  </si>
  <si>
    <t>L4 - 行为偏差与认知</t>
  </si>
  <si>
    <t>Prospect theory: An analysis of decision under risk</t>
  </si>
  <si>
    <t>Kahneman, Daniel &amp; Amos Tversky</t>
  </si>
  <si>
    <t>Econometrica</t>
  </si>
  <si>
    <t>JSTOR: https://www.jstor.org/stable/1914185
Princeton: https://www.princeton.edu/~kahneman/docs/Publications/prospect_theory.pdf</t>
  </si>
  <si>
    <t>前景理论; 损失厌恶; 风险决策</t>
  </si>
  <si>
    <t>开山之作</t>
  </si>
  <si>
    <t>Trading performance, disposition effect, overconfidence, representativeness bias, and experience of emerging market investors</t>
  </si>
  <si>
    <t>Chen, Gongmeng; Kenneth A. Kim; John R. Nofsinger; Oliver M. Rui</t>
  </si>
  <si>
    <t>Journal of Behavioral Decision Making</t>
  </si>
  <si>
    <t>10.1002/bdm.561</t>
  </si>
  <si>
    <t>DOI: https://doi.org/10.1002/bdm.561</t>
  </si>
  <si>
    <t>处置效应; 过度自信; 代表性偏差; 中国投资者</t>
  </si>
  <si>
    <t>核心(420次引)</t>
  </si>
  <si>
    <t>THE DISPOSITION EFFECT, ESCALATION OF COMMITMENT AND HERDING BEHAVIOR OF MUTUAL FUND MANAGERS</t>
  </si>
  <si>
    <t>Lin, Yu-En; Hsiang-Hsuan Chih; Tai-Hsun Huang; Chia-Hsien Tang</t>
  </si>
  <si>
    <t>Annals of Financial Economics</t>
  </si>
  <si>
    <t>10.1142/s2010495215500037</t>
  </si>
  <si>
    <t>DOI: https://doi.org/10.1142/s2010495215500037</t>
  </si>
  <si>
    <t>处置效应; 承诺升级; 羊群行为</t>
  </si>
  <si>
    <t>The impact of experience on risk taking, overconfidence, and herding of fund managers</t>
  </si>
  <si>
    <t>Menkhoff, Lukas; Ulrich Schmidt; Torsten Brozynski</t>
  </si>
  <si>
    <t>Journal of Economic Behavior &amp; Organization</t>
  </si>
  <si>
    <t>经验; 风险承担; 过度自信; 羊群行为</t>
  </si>
  <si>
    <t>Momentum Investment Strategies, Portfolio Performance, and Herding: A Study of Mutual Fund Behavior</t>
  </si>
  <si>
    <t>Grinblatt, Mark; Sheridan Titman; Russ Wermers</t>
  </si>
  <si>
    <t>JSTOR: https://www.jstor.org/stable/2118422</t>
  </si>
  <si>
    <t>动量策略; 羊群行为; 基金业绩</t>
  </si>
  <si>
    <t>Selling Winners, Holding Losers: Effect on Mutual Fund Performance and Flows</t>
  </si>
  <si>
    <t>Xu, Zhaojin</t>
  </si>
  <si>
    <t>处置效应; 售盈持亏; 基金业绩</t>
  </si>
  <si>
    <t>性别; 过度自信; 股票投资</t>
  </si>
  <si>
    <t>Does training on behavioral finance influence fund managers perception and behavior?</t>
  </si>
  <si>
    <t>Nikiforow, Marina</t>
  </si>
  <si>
    <t>行为金融培训; 损失厌恶; 处置效应</t>
  </si>
  <si>
    <t>Do investment fund managers behave rationally in the light of central bank communication?</t>
  </si>
  <si>
    <t>Bolek, Monika; Janusz Brzeszczynski; Jerzy Gajdka; Ali M. Kut an; Rafal Wolski</t>
  </si>
  <si>
    <t>过度自信; 央行沟通; 理性</t>
  </si>
  <si>
    <t>过度交易; 个体投资者</t>
  </si>
  <si>
    <t>An Analysis of Behavioral Biases in Investment Decision-Making</t>
  </si>
  <si>
    <t>Madaan, Geetika &amp; Sanjeet Singh</t>
  </si>
  <si>
    <t>过度自信; 损失厌恶; 羊群效应; 行为偏差</t>
  </si>
  <si>
    <t>Topics on the portfolio management of financial investments (Disposition bias and overconfidence)</t>
  </si>
  <si>
    <t>Heyman, Dries</t>
  </si>
  <si>
    <t>处置偏差; 过度自信; 机构交易</t>
  </si>
  <si>
    <t>Real Estate Mutual Funds: Herding, Momentum Trading and Performance</t>
  </si>
  <si>
    <t>Ro, Seunghan &amp; P. Gallimore</t>
  </si>
  <si>
    <t>羊群行为; 动量交易; 房地产基金</t>
  </si>
  <si>
    <t>Herding Behavior and Stock Returns: An Exploratory Investigation</t>
  </si>
  <si>
    <t>Teh, Lillyn L. &amp; Werner F.M. De Bondt</t>
  </si>
  <si>
    <t>羊群行为; 股票收益</t>
  </si>
  <si>
    <t>Analysis on investment behavior deviation</t>
  </si>
  <si>
    <t>Zhou, Xinhui &amp; Mingliang Li</t>
  </si>
  <si>
    <t>投资行为偏差; 认知偏差; 基金经理</t>
  </si>
  <si>
    <t>THE EFFECT OF OVERCONFIDENCE, RISK TOLERANCE, HERDING BEHAVIOR, AND LOSS AVERSION ON INVESTMENT DECISION</t>
  </si>
  <si>
    <t>Wardani, Irna; Faisal; A. Sakir</t>
  </si>
  <si>
    <t>Int. J. Business Management and Economic Review</t>
  </si>
  <si>
    <t>10.35409/ijbmer.2025.3647</t>
  </si>
  <si>
    <t>DOI: https://doi.org/10.35409/ijbmer.2025.3647</t>
  </si>
  <si>
    <t>过度自信; 风险容忍; 羊群行为; 损失厌恶</t>
  </si>
  <si>
    <t>The Effect of Demographic Factors on Overconfidence Behavioural Bias of Mutual Fund Investors</t>
  </si>
  <si>
    <t>Dave, Nirali &amp; Tejal Shah</t>
  </si>
  <si>
    <t>Book Chapter</t>
  </si>
  <si>
    <t>10.4324/9781003434467-5</t>
  </si>
  <si>
    <t>DOI: https://doi.org/10.4324/9781003434467-5</t>
  </si>
  <si>
    <t>过度自信; 人口因素; 共同基金投资者</t>
  </si>
  <si>
    <t>L5 - AI预测与可预测性</t>
  </si>
  <si>
    <t>Mimicking Finance</t>
  </si>
  <si>
    <t>Cohen, Lauren; Yiwen Lu; Q. Nguyen</t>
  </si>
  <si>
    <t>NBER w33500</t>
  </si>
  <si>
    <t>NBER: https://www.nber.org/papers/w33500
SSRN: https://doi.org/10.2139/ssrn.6246345</t>
  </si>
  <si>
    <t>AI; 机器学习; 行为可预测性; 模仿</t>
  </si>
  <si>
    <t>Machine-Learning the Skill of Mutual Fund Managers</t>
  </si>
  <si>
    <t>Kaniel, Ron; Zihan Lin; Markus Pelger; Stijn Van Nieuwerburgh</t>
  </si>
  <si>
    <t>10.2139/ssrn.3977883</t>
  </si>
  <si>
    <t>SSRN: https://papers.ssrn.com/sol3/papers.cfm?abstract_id=3977883</t>
  </si>
  <si>
    <t>机器学习; 神经网络; 基金经理技能; 可预测性</t>
  </si>
  <si>
    <t>Predicting Mutual Funds Performance using Deep Learning and Ensemble Techniques</t>
  </si>
  <si>
    <t>Chu, Nghia; Binh Dao; Nga Pham; Huy Nguyen; Hien Tran</t>
  </si>
  <si>
    <t>深度学习; 集成方法; 基金业绩预测</t>
  </si>
  <si>
    <t>Real-Time Predictability of Mutual Fund Performance Predictors</t>
  </si>
  <si>
    <t>Xia, Yu</t>
  </si>
  <si>
    <t>机器学习; 实时可预测性; 基金业绩</t>
  </si>
  <si>
    <t>Hedge Fund Return Prediction and Fund Selection: A Machine-Learning Approach</t>
  </si>
  <si>
    <t>Chen, Jiaqi; Wenbo Wu; Michael L. Tindall</t>
  </si>
  <si>
    <t>机器学习; 对冲基金收益预测; 基金选择</t>
  </si>
  <si>
    <t>Dissecting AI Trading: Behavioral Finance and Market Bubbles</t>
  </si>
  <si>
    <t>Ouyang, Shumiao &amp; Pengfei Sui</t>
  </si>
  <si>
    <t>AI交易; 行为金融; 市场泡沫; LLM</t>
  </si>
  <si>
    <t>Can Artificial Intelligence (AI) Manage Behavioural Biases Among Financial Planners?</t>
  </si>
  <si>
    <t>Hasan, Zahid; Daicy Vaz; Vidya S. Athota; et al.</t>
  </si>
  <si>
    <t>Journal of Global Information Management</t>
  </si>
  <si>
    <t>AI; 行为偏差; 财务规划师</t>
  </si>
  <si>
    <t>Forecasting Gilt Mutual Fund Performance Using Data-Driven Machine Learning Models</t>
  </si>
  <si>
    <t>Chinnasamy, Gopalakrishnan; S. Vinoth; Preetha Chandran</t>
  </si>
  <si>
    <t>机器学习; 基金业绩预测; 国债基金</t>
  </si>
  <si>
    <t>Robust monitoring machine: a machine learning solution for out-of-sample R-squared hacking</t>
  </si>
  <si>
    <t>Yae, James &amp; Yang Luo</t>
  </si>
  <si>
    <t>机器学习; 样本外R²; 收益可预测性</t>
  </si>
  <si>
    <t>Fund Manager Allocation</t>
  </si>
  <si>
    <t>Fang, Jieyan; Alexander Kempf; Monika Trapp</t>
  </si>
  <si>
    <t>Journal of Financial Economics</t>
  </si>
  <si>
    <t>10.1016/j.jfineco.2013.11.003</t>
  </si>
  <si>
    <t>DOI: https://doi.org/10.1016/j.jfineco.2013.11.003</t>
  </si>
  <si>
    <t>基金经理配置; 预测; 分配</t>
  </si>
  <si>
    <t>Portfolio manager behavior and global financial crises</t>
  </si>
  <si>
    <t>Feldman, Todd</t>
  </si>
  <si>
    <t>10.1016/j.jebo.2010.03.014</t>
  </si>
  <si>
    <t>DOI: https://doi.org/10.1016/j.jebo.2010.03.014</t>
  </si>
  <si>
    <t>基金经理行为; 金融危机; 组合管理</t>
  </si>
  <si>
    <t>Down but Not Out: mutual fund manager turnover within fund families</t>
  </si>
  <si>
    <t>Bryant, Lonnie L.</t>
  </si>
  <si>
    <t>Journal of Financial Intermediation</t>
  </si>
  <si>
    <t>10.1016/j.jfi.2012.05.001</t>
  </si>
  <si>
    <t>DOI: https://doi.org/10.1016/j.jfi.2012.05.001</t>
  </si>
  <si>
    <t>基金经理流动; 基金家族; 离职</t>
  </si>
  <si>
    <t>A Step Toward a Cybernetic Whale: AI for Learning Characteristics of Funds Behavior</t>
  </si>
  <si>
    <t>Tajiri, Takao; Takahiro Sasaki; Hiroaki Kitano</t>
  </si>
  <si>
    <t>AI; 基金行为特征; 日本GPIF</t>
  </si>
  <si>
    <t>A Study on the Use of Artificial Intelligence within Government Pension Investment Fund Practices</t>
  </si>
  <si>
    <t>Sasaki, Takahiro; Hiroo Koizumi; Takao Tajiri; Hiroaki Kitano</t>
  </si>
  <si>
    <t>AI; 养老金投资; 基金经理行为</t>
  </si>
  <si>
    <t>Beyond Trend Following: Deep Learning for Market Trend Prediction</t>
  </si>
  <si>
    <t>Berzal, Fernando &amp; Alberto Garcia</t>
  </si>
  <si>
    <t>深度学习; 市场趋势预测; AI</t>
  </si>
  <si>
    <t>Mutual Fund Performance and Manager Style</t>
  </si>
  <si>
    <t>Davis, James L.</t>
  </si>
  <si>
    <t>10.2469/faj.v57.n1.2416</t>
  </si>
  <si>
    <t>DOI: https://doi.org/10.2469/faj.v57.n1.2416</t>
  </si>
  <si>
    <t>基金业绩; 管理风格; 分类</t>
  </si>
  <si>
    <t>PERFORMANCE EVALUATION OF MUTUAL FUNDS</t>
  </si>
  <si>
    <t>Nandini, G.; Prof. Shaik Aseen Babu; A. Srikanth</t>
  </si>
  <si>
    <t>基金业绩评价; 机器学习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</si>
</sst>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0" xfId="0" applyFill="1"/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5"/>
  <sheetViews>
    <sheetView workbookViewId="0">
      <selection activeCell="B31" sqref="B31"/>
    </sheetView>
  </sheetViews>
  <sheetFormatPr defaultColWidth="9" defaultRowHeight="14.4" outlineLevelCol="4"/>
  <cols>
    <col min="1" max="1" width="12" customWidth="1"/>
    <col min="2" max="2" width="35" customWidth="1"/>
    <col min="3" max="4" width="12" customWidth="1"/>
    <col min="5" max="5" width="15" customWidth="1"/>
  </cols>
  <sheetData>
    <row r="1" ht="20.4" spans="1:1">
      <c r="A1" s="2" t="s">
        <v>0</v>
      </c>
    </row>
    <row r="3" ht="16.2" spans="1: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ht="15" spans="1:5">
      <c r="A4" s="13" t="s">
        <v>6</v>
      </c>
      <c r="B4" s="14" t="s">
        <v>7</v>
      </c>
      <c r="C4" s="14">
        <v>18</v>
      </c>
      <c r="D4" s="14">
        <v>1</v>
      </c>
      <c r="E4" s="14">
        <v>17</v>
      </c>
    </row>
    <row r="5" ht="15" spans="1:5">
      <c r="A5" s="15" t="s">
        <v>8</v>
      </c>
      <c r="B5" s="14" t="s">
        <v>9</v>
      </c>
      <c r="C5" s="14">
        <v>19</v>
      </c>
      <c r="D5" s="14">
        <v>0</v>
      </c>
      <c r="E5" s="14">
        <v>19</v>
      </c>
    </row>
    <row r="6" ht="15" spans="1:5">
      <c r="A6" s="16" t="s">
        <v>10</v>
      </c>
      <c r="B6" s="14" t="s">
        <v>11</v>
      </c>
      <c r="C6" s="14">
        <v>23</v>
      </c>
      <c r="D6" s="14">
        <v>1</v>
      </c>
      <c r="E6" s="14">
        <v>22</v>
      </c>
    </row>
    <row r="7" ht="15" spans="1:5">
      <c r="A7" s="17" t="s">
        <v>12</v>
      </c>
      <c r="B7" s="14" t="s">
        <v>13</v>
      </c>
      <c r="C7" s="14">
        <v>18</v>
      </c>
      <c r="D7" s="14">
        <v>0</v>
      </c>
      <c r="E7" s="14">
        <v>18</v>
      </c>
    </row>
    <row r="8" ht="15" spans="1:5">
      <c r="A8" s="18" t="s">
        <v>14</v>
      </c>
      <c r="B8" s="14" t="s">
        <v>15</v>
      </c>
      <c r="C8" s="14">
        <v>17</v>
      </c>
      <c r="D8" s="14">
        <v>1</v>
      </c>
      <c r="E8" s="14">
        <v>16</v>
      </c>
    </row>
    <row r="9" ht="15.6" spans="1:5">
      <c r="A9" s="19" t="s">
        <v>16</v>
      </c>
      <c r="B9" s="19" t="s">
        <v>17</v>
      </c>
      <c r="C9" s="19">
        <f>SUM(C4:C8)</f>
        <v>95</v>
      </c>
      <c r="D9" s="19">
        <f>SUM(D4:D8)</f>
        <v>3</v>
      </c>
      <c r="E9" s="19">
        <f>SUM(E4:E8)</f>
        <v>92</v>
      </c>
    </row>
    <row r="11" ht="15" spans="1:1">
      <c r="A11" s="20" t="s">
        <v>18</v>
      </c>
    </row>
    <row r="12" ht="15" spans="1:1">
      <c r="A12" s="20" t="s">
        <v>19</v>
      </c>
    </row>
    <row r="13" ht="15" spans="1:1">
      <c r="A13" s="20" t="s">
        <v>20</v>
      </c>
    </row>
    <row r="14" ht="15" spans="1:1">
      <c r="A14" s="20" t="s">
        <v>21</v>
      </c>
    </row>
    <row r="15" ht="15" spans="1:1">
      <c r="A15" s="20" t="s">
        <v>22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0"/>
  <sheetViews>
    <sheetView workbookViewId="0">
      <pane ySplit="2" topLeftCell="A14" activePane="bottomLeft" state="frozen"/>
      <selection/>
      <selection pane="bottomLeft" activeCell="C17" sqref="C17"/>
    </sheetView>
  </sheetViews>
  <sheetFormatPr defaultColWidth="9" defaultRowHeight="14.4"/>
  <cols>
    <col min="1" max="1" width="6" customWidth="1"/>
    <col min="2" max="2" width="50" customWidth="1"/>
    <col min="3" max="3" width="35" customWidth="1"/>
    <col min="4" max="4" width="8" customWidth="1"/>
    <col min="5" max="5" width="30" customWidth="1"/>
    <col min="6" max="6" width="25" customWidth="1"/>
    <col min="7" max="7" width="12" customWidth="1"/>
    <col min="8" max="8" width="50" customWidth="1"/>
    <col min="9" max="9" width="40" customWidth="1"/>
    <col min="10" max="11" width="12" customWidth="1"/>
  </cols>
  <sheetData>
    <row r="1" ht="30" customHeight="1" spans="1:1">
      <c r="A1" s="2" t="s">
        <v>23</v>
      </c>
    </row>
    <row r="2" ht="25" customHeight="1" spans="1:1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="1" customFormat="1" ht="40" customHeight="1" spans="1:11">
      <c r="A3" s="4">
        <v>1</v>
      </c>
      <c r="B3" s="4" t="s">
        <v>35</v>
      </c>
      <c r="C3" s="4" t="s">
        <v>36</v>
      </c>
      <c r="D3" s="4">
        <v>1998</v>
      </c>
      <c r="E3" s="4" t="s">
        <v>37</v>
      </c>
      <c r="F3" s="4" t="s">
        <v>17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</row>
    <row r="4" s="1" customFormat="1" ht="40" customHeight="1" spans="1:11">
      <c r="A4" s="4">
        <v>2</v>
      </c>
      <c r="B4" s="4" t="s">
        <v>43</v>
      </c>
      <c r="C4" s="4" t="s">
        <v>44</v>
      </c>
      <c r="D4" s="4">
        <v>1998</v>
      </c>
      <c r="E4" s="4" t="s">
        <v>45</v>
      </c>
      <c r="F4" s="4" t="s">
        <v>17</v>
      </c>
      <c r="G4" s="4" t="s">
        <v>46</v>
      </c>
      <c r="H4" s="4" t="s">
        <v>47</v>
      </c>
      <c r="I4" s="4" t="s">
        <v>48</v>
      </c>
      <c r="J4" s="4" t="s">
        <v>41</v>
      </c>
      <c r="K4" s="4" t="s">
        <v>49</v>
      </c>
    </row>
    <row r="5" s="1" customFormat="1" ht="40" customHeight="1" spans="1:11">
      <c r="A5" s="4">
        <v>3</v>
      </c>
      <c r="B5" s="4" t="s">
        <v>50</v>
      </c>
      <c r="C5" s="4" t="s">
        <v>51</v>
      </c>
      <c r="D5" s="4">
        <v>2013</v>
      </c>
      <c r="E5" s="4" t="s">
        <v>52</v>
      </c>
      <c r="F5" s="4" t="s">
        <v>53</v>
      </c>
      <c r="G5" s="4" t="s">
        <v>46</v>
      </c>
      <c r="H5" s="4" t="s">
        <v>54</v>
      </c>
      <c r="I5" s="4" t="s">
        <v>55</v>
      </c>
      <c r="J5" s="4" t="s">
        <v>41</v>
      </c>
      <c r="K5" s="4" t="s">
        <v>49</v>
      </c>
    </row>
    <row r="6" s="1" customFormat="1" ht="40" customHeight="1" spans="1:11">
      <c r="A6" s="4">
        <v>4</v>
      </c>
      <c r="B6" s="4" t="s">
        <v>56</v>
      </c>
      <c r="C6" s="4" t="s">
        <v>57</v>
      </c>
      <c r="D6" s="4">
        <v>2019</v>
      </c>
      <c r="E6" s="4" t="s">
        <v>45</v>
      </c>
      <c r="F6" s="4" t="s">
        <v>17</v>
      </c>
      <c r="G6" s="4" t="s">
        <v>46</v>
      </c>
      <c r="H6" s="4" t="s">
        <v>47</v>
      </c>
      <c r="I6" s="4" t="s">
        <v>58</v>
      </c>
      <c r="J6" s="4" t="s">
        <v>41</v>
      </c>
      <c r="K6" s="4" t="s">
        <v>59</v>
      </c>
    </row>
    <row r="7" ht="40" customHeight="1" spans="1:11">
      <c r="A7" s="11">
        <v>5</v>
      </c>
      <c r="B7" s="11" t="s">
        <v>60</v>
      </c>
      <c r="C7" s="11" t="s">
        <v>61</v>
      </c>
      <c r="D7" s="11">
        <v>2015</v>
      </c>
      <c r="E7" s="11" t="s">
        <v>45</v>
      </c>
      <c r="F7" s="11" t="s">
        <v>17</v>
      </c>
      <c r="G7" s="11" t="s">
        <v>46</v>
      </c>
      <c r="H7" s="11" t="s">
        <v>47</v>
      </c>
      <c r="I7" s="11" t="s">
        <v>62</v>
      </c>
      <c r="J7" s="11" t="s">
        <v>41</v>
      </c>
      <c r="K7" s="11" t="s">
        <v>49</v>
      </c>
    </row>
    <row r="8" ht="40" customHeight="1" spans="1:11">
      <c r="A8" s="5">
        <v>6</v>
      </c>
      <c r="B8" s="5" t="s">
        <v>63</v>
      </c>
      <c r="C8" s="5" t="s">
        <v>64</v>
      </c>
      <c r="D8" s="5">
        <v>1967</v>
      </c>
      <c r="E8" s="5" t="s">
        <v>65</v>
      </c>
      <c r="F8" s="5" t="s">
        <v>17</v>
      </c>
      <c r="G8" s="5" t="s">
        <v>46</v>
      </c>
      <c r="H8" s="5" t="s">
        <v>66</v>
      </c>
      <c r="I8" s="5" t="s">
        <v>67</v>
      </c>
      <c r="J8" s="5" t="s">
        <v>41</v>
      </c>
      <c r="K8" s="5" t="s">
        <v>68</v>
      </c>
    </row>
    <row r="9" ht="40" customHeight="1" spans="1:11">
      <c r="A9" s="11">
        <v>7</v>
      </c>
      <c r="B9" s="11" t="s">
        <v>69</v>
      </c>
      <c r="C9" s="11" t="s">
        <v>70</v>
      </c>
      <c r="D9" s="11">
        <v>2010</v>
      </c>
      <c r="E9" s="11" t="s">
        <v>45</v>
      </c>
      <c r="F9" s="11" t="s">
        <v>17</v>
      </c>
      <c r="G9" s="11" t="s">
        <v>46</v>
      </c>
      <c r="H9" s="11" t="s">
        <v>47</v>
      </c>
      <c r="I9" s="11" t="s">
        <v>71</v>
      </c>
      <c r="J9" s="11" t="s">
        <v>41</v>
      </c>
      <c r="K9" s="11" t="s">
        <v>49</v>
      </c>
    </row>
    <row r="10" ht="40" customHeight="1" spans="1:11">
      <c r="A10" s="5">
        <v>8</v>
      </c>
      <c r="B10" s="5" t="s">
        <v>72</v>
      </c>
      <c r="C10" s="5" t="s">
        <v>73</v>
      </c>
      <c r="D10" s="5">
        <v>2004</v>
      </c>
      <c r="E10" s="5" t="s">
        <v>45</v>
      </c>
      <c r="F10" s="5" t="s">
        <v>17</v>
      </c>
      <c r="G10" s="5" t="s">
        <v>46</v>
      </c>
      <c r="H10" s="5" t="s">
        <v>47</v>
      </c>
      <c r="I10" s="5" t="s">
        <v>74</v>
      </c>
      <c r="J10" s="5" t="s">
        <v>41</v>
      </c>
      <c r="K10" s="5" t="s">
        <v>59</v>
      </c>
    </row>
    <row r="11" ht="40" customHeight="1" spans="1:11">
      <c r="A11" s="11">
        <v>9</v>
      </c>
      <c r="B11" s="11" t="s">
        <v>75</v>
      </c>
      <c r="C11" s="11" t="s">
        <v>76</v>
      </c>
      <c r="D11" s="11">
        <v>2003</v>
      </c>
      <c r="E11" s="11" t="s">
        <v>45</v>
      </c>
      <c r="F11" s="11" t="s">
        <v>17</v>
      </c>
      <c r="G11" s="11" t="s">
        <v>46</v>
      </c>
      <c r="H11" s="11" t="s">
        <v>47</v>
      </c>
      <c r="I11" s="11" t="s">
        <v>77</v>
      </c>
      <c r="J11" s="11" t="s">
        <v>41</v>
      </c>
      <c r="K11" s="11" t="s">
        <v>59</v>
      </c>
    </row>
    <row r="12" ht="40" customHeight="1" spans="1:11">
      <c r="A12" s="5">
        <v>10</v>
      </c>
      <c r="B12" s="5" t="s">
        <v>78</v>
      </c>
      <c r="C12" s="5" t="s">
        <v>79</v>
      </c>
      <c r="D12" s="5">
        <v>2017</v>
      </c>
      <c r="E12" s="5" t="s">
        <v>45</v>
      </c>
      <c r="F12" s="5" t="s">
        <v>17</v>
      </c>
      <c r="G12" s="5" t="s">
        <v>46</v>
      </c>
      <c r="H12" s="5" t="s">
        <v>47</v>
      </c>
      <c r="I12" s="5" t="s">
        <v>80</v>
      </c>
      <c r="J12" s="5" t="s">
        <v>41</v>
      </c>
      <c r="K12" s="5" t="s">
        <v>59</v>
      </c>
    </row>
    <row r="13" ht="40" customHeight="1" spans="1:11">
      <c r="A13" s="11">
        <v>11</v>
      </c>
      <c r="B13" s="11" t="s">
        <v>81</v>
      </c>
      <c r="C13" s="11" t="s">
        <v>82</v>
      </c>
      <c r="D13" s="11">
        <v>2016</v>
      </c>
      <c r="E13" s="11" t="s">
        <v>45</v>
      </c>
      <c r="F13" s="11" t="s">
        <v>17</v>
      </c>
      <c r="G13" s="11" t="s">
        <v>46</v>
      </c>
      <c r="H13" s="11" t="s">
        <v>47</v>
      </c>
      <c r="I13" s="11" t="s">
        <v>83</v>
      </c>
      <c r="J13" s="11" t="s">
        <v>41</v>
      </c>
      <c r="K13" s="11" t="s">
        <v>59</v>
      </c>
    </row>
    <row r="14" ht="40" customHeight="1" spans="1:11">
      <c r="A14" s="5">
        <v>12</v>
      </c>
      <c r="B14" s="5" t="s">
        <v>84</v>
      </c>
      <c r="C14" s="5" t="s">
        <v>85</v>
      </c>
      <c r="D14" s="5">
        <v>2018</v>
      </c>
      <c r="E14" s="5" t="s">
        <v>45</v>
      </c>
      <c r="F14" s="5" t="s">
        <v>17</v>
      </c>
      <c r="G14" s="5" t="s">
        <v>46</v>
      </c>
      <c r="H14" s="5" t="s">
        <v>47</v>
      </c>
      <c r="I14" s="5" t="s">
        <v>86</v>
      </c>
      <c r="J14" s="5" t="s">
        <v>41</v>
      </c>
      <c r="K14" s="5" t="s">
        <v>59</v>
      </c>
    </row>
    <row r="15" ht="40" customHeight="1" spans="1:11">
      <c r="A15" s="11">
        <v>13</v>
      </c>
      <c r="B15" s="11" t="s">
        <v>87</v>
      </c>
      <c r="C15" s="11" t="s">
        <v>88</v>
      </c>
      <c r="D15" s="11">
        <v>2015</v>
      </c>
      <c r="E15" s="11" t="s">
        <v>45</v>
      </c>
      <c r="F15" s="11" t="s">
        <v>17</v>
      </c>
      <c r="G15" s="11" t="s">
        <v>46</v>
      </c>
      <c r="H15" s="11" t="s">
        <v>47</v>
      </c>
      <c r="I15" s="11" t="s">
        <v>89</v>
      </c>
      <c r="J15" s="11" t="s">
        <v>41</v>
      </c>
      <c r="K15" s="11" t="s">
        <v>59</v>
      </c>
    </row>
    <row r="16" ht="40" customHeight="1" spans="1:11">
      <c r="A16" s="5">
        <v>14</v>
      </c>
      <c r="B16" s="5" t="s">
        <v>90</v>
      </c>
      <c r="C16" s="5" t="s">
        <v>91</v>
      </c>
      <c r="D16" s="5">
        <v>2006</v>
      </c>
      <c r="E16" s="5" t="s">
        <v>92</v>
      </c>
      <c r="F16" s="5" t="s">
        <v>93</v>
      </c>
      <c r="G16" s="5" t="s">
        <v>46</v>
      </c>
      <c r="H16" s="5" t="s">
        <v>94</v>
      </c>
      <c r="I16" s="5" t="s">
        <v>95</v>
      </c>
      <c r="J16" s="5" t="s">
        <v>41</v>
      </c>
      <c r="K16" s="5" t="s">
        <v>59</v>
      </c>
    </row>
    <row r="17" s="8" customFormat="1" ht="40" customHeight="1" spans="1:11">
      <c r="A17" s="4">
        <v>15</v>
      </c>
      <c r="B17" s="4" t="s">
        <v>96</v>
      </c>
      <c r="C17" s="4" t="s">
        <v>97</v>
      </c>
      <c r="D17" s="4">
        <v>2013</v>
      </c>
      <c r="E17" s="4" t="s">
        <v>98</v>
      </c>
      <c r="F17" s="4" t="s">
        <v>17</v>
      </c>
      <c r="G17" s="4" t="s">
        <v>46</v>
      </c>
      <c r="H17" s="4" t="s">
        <v>99</v>
      </c>
      <c r="I17" s="4" t="s">
        <v>100</v>
      </c>
      <c r="J17" s="4" t="s">
        <v>101</v>
      </c>
      <c r="K17" s="4" t="s">
        <v>49</v>
      </c>
    </row>
    <row r="18" ht="40" customHeight="1" spans="1:11">
      <c r="A18" s="5">
        <v>16</v>
      </c>
      <c r="B18" s="5" t="s">
        <v>102</v>
      </c>
      <c r="C18" s="5" t="s">
        <v>103</v>
      </c>
      <c r="D18" s="5">
        <v>2018</v>
      </c>
      <c r="E18" s="5" t="s">
        <v>45</v>
      </c>
      <c r="F18" s="5" t="s">
        <v>17</v>
      </c>
      <c r="G18" s="5" t="s">
        <v>46</v>
      </c>
      <c r="H18" s="5" t="s">
        <v>47</v>
      </c>
      <c r="I18" s="5" t="s">
        <v>104</v>
      </c>
      <c r="J18" s="5" t="s">
        <v>105</v>
      </c>
      <c r="K18" s="5" t="s">
        <v>49</v>
      </c>
    </row>
    <row r="19" s="8" customFormat="1" ht="40" customHeight="1" spans="1:11">
      <c r="A19" s="4">
        <v>17</v>
      </c>
      <c r="B19" s="4" t="s">
        <v>106</v>
      </c>
      <c r="C19" s="4" t="s">
        <v>107</v>
      </c>
      <c r="D19" s="4">
        <v>2017</v>
      </c>
      <c r="E19" s="4" t="s">
        <v>98</v>
      </c>
      <c r="F19" s="4" t="s">
        <v>17</v>
      </c>
      <c r="G19" s="4" t="s">
        <v>46</v>
      </c>
      <c r="H19" s="4" t="s">
        <v>99</v>
      </c>
      <c r="I19" s="4" t="s">
        <v>108</v>
      </c>
      <c r="J19" s="4" t="s">
        <v>101</v>
      </c>
      <c r="K19" s="4" t="s">
        <v>49</v>
      </c>
    </row>
    <row r="20" ht="40" customHeight="1" spans="1:11">
      <c r="A20" s="5">
        <v>18</v>
      </c>
      <c r="B20" s="5" t="s">
        <v>109</v>
      </c>
      <c r="C20" s="5" t="s">
        <v>110</v>
      </c>
      <c r="D20" s="5">
        <v>2001</v>
      </c>
      <c r="E20" s="5" t="s">
        <v>111</v>
      </c>
      <c r="F20" s="5" t="s">
        <v>17</v>
      </c>
      <c r="G20" s="5" t="s">
        <v>46</v>
      </c>
      <c r="H20" s="5" t="s">
        <v>112</v>
      </c>
      <c r="I20" s="5" t="s">
        <v>113</v>
      </c>
      <c r="J20" s="5" t="s">
        <v>41</v>
      </c>
      <c r="K20" s="5" t="s">
        <v>68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1"/>
  <sheetViews>
    <sheetView workbookViewId="0">
      <pane ySplit="2" topLeftCell="A17" activePane="bottomLeft" state="frozen"/>
      <selection/>
      <selection pane="bottomLeft" activeCell="A1" sqref="A1:J1"/>
    </sheetView>
  </sheetViews>
  <sheetFormatPr defaultColWidth="9" defaultRowHeight="14.4"/>
  <cols>
    <col min="1" max="1" width="6" customWidth="1"/>
    <col min="2" max="2" width="50" customWidth="1"/>
    <col min="3" max="3" width="35" customWidth="1"/>
    <col min="4" max="4" width="8" customWidth="1"/>
    <col min="5" max="5" width="30" customWidth="1"/>
    <col min="6" max="6" width="25" customWidth="1"/>
    <col min="7" max="7" width="12" customWidth="1"/>
    <col min="8" max="8" width="50" customWidth="1"/>
    <col min="9" max="9" width="40" customWidth="1"/>
    <col min="10" max="11" width="12" customWidth="1"/>
  </cols>
  <sheetData>
    <row r="1" ht="30" customHeight="1" spans="1:1">
      <c r="A1" s="2" t="s">
        <v>114</v>
      </c>
    </row>
    <row r="2" ht="25" customHeight="1" spans="1:1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ht="40" customHeight="1" spans="1:11">
      <c r="A3" s="10">
        <v>1</v>
      </c>
      <c r="B3" s="10" t="s">
        <v>115</v>
      </c>
      <c r="C3" s="10" t="s">
        <v>116</v>
      </c>
      <c r="D3" s="10">
        <v>2009</v>
      </c>
      <c r="E3" s="10" t="s">
        <v>117</v>
      </c>
      <c r="F3" s="10" t="s">
        <v>118</v>
      </c>
      <c r="G3" s="10" t="s">
        <v>119</v>
      </c>
      <c r="H3" s="10" t="s">
        <v>120</v>
      </c>
      <c r="I3" s="10" t="s">
        <v>121</v>
      </c>
      <c r="J3" s="10" t="s">
        <v>41</v>
      </c>
      <c r="K3" s="10" t="s">
        <v>42</v>
      </c>
    </row>
    <row r="4" ht="40" customHeight="1" spans="1:11">
      <c r="A4" s="5">
        <v>2</v>
      </c>
      <c r="B4" s="5" t="s">
        <v>122</v>
      </c>
      <c r="C4" s="5" t="s">
        <v>123</v>
      </c>
      <c r="D4" s="5">
        <v>2013</v>
      </c>
      <c r="E4" s="5" t="s">
        <v>124</v>
      </c>
      <c r="F4" s="5" t="s">
        <v>125</v>
      </c>
      <c r="G4" s="5" t="s">
        <v>119</v>
      </c>
      <c r="H4" s="5" t="s">
        <v>126</v>
      </c>
      <c r="I4" s="5" t="s">
        <v>127</v>
      </c>
      <c r="J4" s="5" t="s">
        <v>41</v>
      </c>
      <c r="K4" s="5" t="s">
        <v>42</v>
      </c>
    </row>
    <row r="5" ht="40" customHeight="1" spans="1:11">
      <c r="A5" s="10">
        <v>3</v>
      </c>
      <c r="B5" s="10" t="s">
        <v>128</v>
      </c>
      <c r="C5" s="10" t="s">
        <v>123</v>
      </c>
      <c r="D5" s="10">
        <v>2016</v>
      </c>
      <c r="E5" s="10" t="s">
        <v>124</v>
      </c>
      <c r="F5" s="10" t="s">
        <v>129</v>
      </c>
      <c r="G5" s="10" t="s">
        <v>46</v>
      </c>
      <c r="H5" s="10" t="s">
        <v>130</v>
      </c>
      <c r="I5" s="10" t="s">
        <v>131</v>
      </c>
      <c r="J5" s="10" t="s">
        <v>41</v>
      </c>
      <c r="K5" s="10" t="s">
        <v>59</v>
      </c>
    </row>
    <row r="6" ht="40" customHeight="1" spans="1:11">
      <c r="A6" s="5">
        <v>4</v>
      </c>
      <c r="B6" s="5" t="s">
        <v>132</v>
      </c>
      <c r="C6" s="5" t="s">
        <v>133</v>
      </c>
      <c r="D6" s="5">
        <v>2024</v>
      </c>
      <c r="E6" s="5" t="s">
        <v>134</v>
      </c>
      <c r="F6" s="5" t="s">
        <v>135</v>
      </c>
      <c r="G6" s="5" t="s">
        <v>46</v>
      </c>
      <c r="H6" s="5" t="s">
        <v>136</v>
      </c>
      <c r="I6" s="5" t="s">
        <v>137</v>
      </c>
      <c r="J6" s="5" t="s">
        <v>41</v>
      </c>
      <c r="K6" s="5" t="s">
        <v>49</v>
      </c>
    </row>
    <row r="7" ht="40" customHeight="1" spans="1:11">
      <c r="A7" s="10">
        <v>5</v>
      </c>
      <c r="B7" s="10" t="s">
        <v>138</v>
      </c>
      <c r="C7" s="10" t="s">
        <v>139</v>
      </c>
      <c r="D7" s="10">
        <v>2013</v>
      </c>
      <c r="E7" s="10" t="s">
        <v>45</v>
      </c>
      <c r="F7" s="10" t="s">
        <v>17</v>
      </c>
      <c r="G7" s="10" t="s">
        <v>46</v>
      </c>
      <c r="H7" s="10" t="s">
        <v>47</v>
      </c>
      <c r="I7" s="10" t="s">
        <v>140</v>
      </c>
      <c r="J7" s="10" t="s">
        <v>41</v>
      </c>
      <c r="K7" s="10" t="s">
        <v>49</v>
      </c>
    </row>
    <row r="8" ht="40" customHeight="1" spans="1:11">
      <c r="A8" s="5">
        <v>6</v>
      </c>
      <c r="B8" s="5" t="s">
        <v>141</v>
      </c>
      <c r="C8" s="5" t="s">
        <v>142</v>
      </c>
      <c r="D8" s="5">
        <v>2004</v>
      </c>
      <c r="E8" s="5" t="s">
        <v>143</v>
      </c>
      <c r="F8" s="5" t="s">
        <v>144</v>
      </c>
      <c r="G8" s="5" t="s">
        <v>46</v>
      </c>
      <c r="H8" s="5" t="s">
        <v>145</v>
      </c>
      <c r="I8" s="5" t="s">
        <v>146</v>
      </c>
      <c r="J8" s="5" t="s">
        <v>41</v>
      </c>
      <c r="K8" s="5" t="s">
        <v>49</v>
      </c>
    </row>
    <row r="9" ht="40" customHeight="1" spans="1:11">
      <c r="A9" s="10">
        <v>7</v>
      </c>
      <c r="B9" s="10" t="s">
        <v>147</v>
      </c>
      <c r="C9" s="10" t="s">
        <v>148</v>
      </c>
      <c r="D9" s="10">
        <v>2011</v>
      </c>
      <c r="E9" s="10" t="s">
        <v>45</v>
      </c>
      <c r="F9" s="10" t="s">
        <v>17</v>
      </c>
      <c r="G9" s="10" t="s">
        <v>46</v>
      </c>
      <c r="H9" s="10" t="s">
        <v>47</v>
      </c>
      <c r="I9" s="10" t="s">
        <v>149</v>
      </c>
      <c r="J9" s="10" t="s">
        <v>41</v>
      </c>
      <c r="K9" s="10" t="s">
        <v>59</v>
      </c>
    </row>
    <row r="10" ht="40" customHeight="1" spans="1:11">
      <c r="A10" s="5">
        <v>8</v>
      </c>
      <c r="B10" s="5" t="s">
        <v>150</v>
      </c>
      <c r="C10" s="5" t="s">
        <v>151</v>
      </c>
      <c r="D10" s="5">
        <v>2016</v>
      </c>
      <c r="E10" s="5" t="s">
        <v>45</v>
      </c>
      <c r="F10" s="5" t="s">
        <v>17</v>
      </c>
      <c r="G10" s="5" t="s">
        <v>46</v>
      </c>
      <c r="H10" s="5" t="s">
        <v>47</v>
      </c>
      <c r="I10" s="5" t="s">
        <v>152</v>
      </c>
      <c r="J10" s="5" t="s">
        <v>41</v>
      </c>
      <c r="K10" s="5" t="s">
        <v>49</v>
      </c>
    </row>
    <row r="11" ht="40" customHeight="1" spans="1:11">
      <c r="A11" s="10">
        <v>9</v>
      </c>
      <c r="B11" s="10" t="s">
        <v>153</v>
      </c>
      <c r="C11" s="10" t="s">
        <v>154</v>
      </c>
      <c r="D11" s="10">
        <v>2014</v>
      </c>
      <c r="E11" s="10" t="s">
        <v>45</v>
      </c>
      <c r="F11" s="10" t="s">
        <v>17</v>
      </c>
      <c r="G11" s="10" t="s">
        <v>46</v>
      </c>
      <c r="H11" s="10" t="s">
        <v>47</v>
      </c>
      <c r="I11" s="10" t="s">
        <v>155</v>
      </c>
      <c r="J11" s="10" t="s">
        <v>41</v>
      </c>
      <c r="K11" s="10" t="s">
        <v>59</v>
      </c>
    </row>
    <row r="12" ht="40" customHeight="1" spans="1:11">
      <c r="A12" s="5">
        <v>10</v>
      </c>
      <c r="B12" s="5" t="s">
        <v>156</v>
      </c>
      <c r="C12" s="5" t="s">
        <v>157</v>
      </c>
      <c r="D12" s="5">
        <v>2019</v>
      </c>
      <c r="E12" s="5" t="s">
        <v>45</v>
      </c>
      <c r="F12" s="5" t="s">
        <v>17</v>
      </c>
      <c r="G12" s="5" t="s">
        <v>46</v>
      </c>
      <c r="H12" s="5" t="s">
        <v>47</v>
      </c>
      <c r="I12" s="5" t="s">
        <v>158</v>
      </c>
      <c r="J12" s="5" t="s">
        <v>41</v>
      </c>
      <c r="K12" s="5" t="s">
        <v>59</v>
      </c>
    </row>
    <row r="13" ht="40" customHeight="1" spans="1:11">
      <c r="A13" s="10">
        <v>11</v>
      </c>
      <c r="B13" s="10" t="s">
        <v>159</v>
      </c>
      <c r="C13" s="10" t="s">
        <v>160</v>
      </c>
      <c r="D13" s="10">
        <v>2007</v>
      </c>
      <c r="E13" s="10" t="s">
        <v>45</v>
      </c>
      <c r="F13" s="10" t="s">
        <v>17</v>
      </c>
      <c r="G13" s="10" t="s">
        <v>46</v>
      </c>
      <c r="H13" s="10" t="s">
        <v>47</v>
      </c>
      <c r="I13" s="10" t="s">
        <v>161</v>
      </c>
      <c r="J13" s="10" t="s">
        <v>41</v>
      </c>
      <c r="K13" s="10" t="s">
        <v>59</v>
      </c>
    </row>
    <row r="14" ht="40" customHeight="1" spans="1:11">
      <c r="A14" s="5">
        <v>12</v>
      </c>
      <c r="B14" s="5" t="s">
        <v>162</v>
      </c>
      <c r="C14" s="5" t="s">
        <v>163</v>
      </c>
      <c r="D14" s="5">
        <v>2016</v>
      </c>
      <c r="E14" s="5" t="s">
        <v>164</v>
      </c>
      <c r="F14" s="5" t="s">
        <v>165</v>
      </c>
      <c r="G14" s="5" t="s">
        <v>46</v>
      </c>
      <c r="H14" s="5" t="s">
        <v>166</v>
      </c>
      <c r="I14" s="5" t="s">
        <v>167</v>
      </c>
      <c r="J14" s="5" t="s">
        <v>41</v>
      </c>
      <c r="K14" s="5" t="s">
        <v>59</v>
      </c>
    </row>
    <row r="15" ht="40" customHeight="1" spans="1:11">
      <c r="A15" s="10">
        <v>13</v>
      </c>
      <c r="B15" s="10" t="s">
        <v>168</v>
      </c>
      <c r="C15" s="10" t="s">
        <v>169</v>
      </c>
      <c r="D15" s="10">
        <v>2009</v>
      </c>
      <c r="E15" s="10" t="s">
        <v>170</v>
      </c>
      <c r="F15" s="10" t="s">
        <v>171</v>
      </c>
      <c r="G15" s="10" t="s">
        <v>46</v>
      </c>
      <c r="H15" s="10" t="s">
        <v>172</v>
      </c>
      <c r="I15" s="10" t="s">
        <v>173</v>
      </c>
      <c r="J15" s="10" t="s">
        <v>41</v>
      </c>
      <c r="K15" s="10" t="s">
        <v>59</v>
      </c>
    </row>
    <row r="16" ht="40" customHeight="1" spans="1:11">
      <c r="A16" s="5">
        <v>14</v>
      </c>
      <c r="B16" s="5" t="s">
        <v>174</v>
      </c>
      <c r="C16" s="5" t="s">
        <v>175</v>
      </c>
      <c r="D16" s="5">
        <v>2015</v>
      </c>
      <c r="E16" s="5" t="s">
        <v>45</v>
      </c>
      <c r="F16" s="5" t="s">
        <v>17</v>
      </c>
      <c r="G16" s="5" t="s">
        <v>46</v>
      </c>
      <c r="H16" s="5" t="s">
        <v>47</v>
      </c>
      <c r="I16" s="5" t="s">
        <v>176</v>
      </c>
      <c r="J16" s="5" t="s">
        <v>41</v>
      </c>
      <c r="K16" s="5" t="s">
        <v>59</v>
      </c>
    </row>
    <row r="17" ht="40" customHeight="1" spans="1:11">
      <c r="A17" s="10">
        <v>15</v>
      </c>
      <c r="B17" s="10" t="s">
        <v>177</v>
      </c>
      <c r="C17" s="10" t="s">
        <v>178</v>
      </c>
      <c r="D17" s="10">
        <v>2019</v>
      </c>
      <c r="E17" s="10" t="s">
        <v>45</v>
      </c>
      <c r="F17" s="10" t="s">
        <v>17</v>
      </c>
      <c r="G17" s="10" t="s">
        <v>46</v>
      </c>
      <c r="H17" s="10" t="s">
        <v>47</v>
      </c>
      <c r="I17" s="10" t="s">
        <v>179</v>
      </c>
      <c r="J17" s="10" t="s">
        <v>41</v>
      </c>
      <c r="K17" s="10" t="s">
        <v>59</v>
      </c>
    </row>
    <row r="18" ht="40" customHeight="1" spans="1:11">
      <c r="A18" s="5">
        <v>16</v>
      </c>
      <c r="B18" s="5" t="s">
        <v>180</v>
      </c>
      <c r="C18" s="5" t="s">
        <v>181</v>
      </c>
      <c r="D18" s="5">
        <v>2007</v>
      </c>
      <c r="E18" s="5" t="s">
        <v>182</v>
      </c>
      <c r="F18" s="5" t="s">
        <v>17</v>
      </c>
      <c r="G18" s="5" t="s">
        <v>46</v>
      </c>
      <c r="H18" s="5" t="s">
        <v>47</v>
      </c>
      <c r="I18" s="5" t="s">
        <v>183</v>
      </c>
      <c r="J18" s="5" t="s">
        <v>41</v>
      </c>
      <c r="K18" s="5" t="s">
        <v>68</v>
      </c>
    </row>
    <row r="19" ht="40" customHeight="1" spans="1:11">
      <c r="A19" s="10">
        <v>17</v>
      </c>
      <c r="B19" s="10" t="s">
        <v>184</v>
      </c>
      <c r="C19" s="10" t="s">
        <v>185</v>
      </c>
      <c r="D19" s="10">
        <v>1992</v>
      </c>
      <c r="E19" s="10" t="s">
        <v>65</v>
      </c>
      <c r="F19" s="10" t="s">
        <v>17</v>
      </c>
      <c r="G19" s="10" t="s">
        <v>46</v>
      </c>
      <c r="H19" s="10" t="s">
        <v>47</v>
      </c>
      <c r="I19" s="10" t="s">
        <v>186</v>
      </c>
      <c r="J19" s="10" t="s">
        <v>41</v>
      </c>
      <c r="K19" s="10" t="s">
        <v>68</v>
      </c>
    </row>
    <row r="20" ht="40" customHeight="1" spans="1:11">
      <c r="A20" s="5">
        <v>18</v>
      </c>
      <c r="B20" s="5" t="s">
        <v>187</v>
      </c>
      <c r="C20" s="5" t="s">
        <v>188</v>
      </c>
      <c r="D20" s="5">
        <v>2000</v>
      </c>
      <c r="E20" s="5" t="s">
        <v>65</v>
      </c>
      <c r="F20" s="5" t="s">
        <v>17</v>
      </c>
      <c r="G20" s="5" t="s">
        <v>46</v>
      </c>
      <c r="H20" s="5" t="s">
        <v>47</v>
      </c>
      <c r="I20" s="5" t="s">
        <v>189</v>
      </c>
      <c r="J20" s="5" t="s">
        <v>41</v>
      </c>
      <c r="K20" s="5" t="s">
        <v>59</v>
      </c>
    </row>
    <row r="21" ht="40" customHeight="1" spans="1:11">
      <c r="A21" s="10">
        <v>19</v>
      </c>
      <c r="B21" s="10" t="s">
        <v>190</v>
      </c>
      <c r="C21" s="10" t="s">
        <v>191</v>
      </c>
      <c r="D21" s="10">
        <v>2015</v>
      </c>
      <c r="E21" s="10" t="s">
        <v>192</v>
      </c>
      <c r="F21" s="10" t="s">
        <v>17</v>
      </c>
      <c r="G21" s="10" t="s">
        <v>46</v>
      </c>
      <c r="H21" s="10" t="s">
        <v>47</v>
      </c>
      <c r="I21" s="10" t="s">
        <v>193</v>
      </c>
      <c r="J21" s="10" t="s">
        <v>41</v>
      </c>
      <c r="K21" s="10" t="s">
        <v>59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25"/>
  <sheetViews>
    <sheetView workbookViewId="0">
      <pane ySplit="2" topLeftCell="A20" activePane="bottomLeft" state="frozen"/>
      <selection/>
      <selection pane="bottomLeft" activeCell="C18" sqref="C18"/>
    </sheetView>
  </sheetViews>
  <sheetFormatPr defaultColWidth="9" defaultRowHeight="14.4"/>
  <cols>
    <col min="1" max="1" width="6" customWidth="1"/>
    <col min="2" max="2" width="50" customWidth="1"/>
    <col min="3" max="3" width="35" customWidth="1"/>
    <col min="4" max="4" width="8" customWidth="1"/>
    <col min="5" max="5" width="30" customWidth="1"/>
    <col min="6" max="6" width="25" customWidth="1"/>
    <col min="7" max="7" width="12" customWidth="1"/>
    <col min="8" max="8" width="50" customWidth="1"/>
    <col min="9" max="9" width="40" customWidth="1"/>
    <col min="10" max="11" width="12" customWidth="1"/>
  </cols>
  <sheetData>
    <row r="1" ht="30" customHeight="1" spans="1:1">
      <c r="A1" s="2" t="s">
        <v>194</v>
      </c>
    </row>
    <row r="2" ht="25" customHeight="1" spans="1:1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="1" customFormat="1" ht="40" customHeight="1" spans="1:11">
      <c r="A3" s="4">
        <v>1</v>
      </c>
      <c r="B3" s="4" t="s">
        <v>195</v>
      </c>
      <c r="C3" s="4" t="s">
        <v>142</v>
      </c>
      <c r="D3" s="4">
        <v>2005</v>
      </c>
      <c r="E3" s="4" t="s">
        <v>196</v>
      </c>
      <c r="F3" s="4" t="s">
        <v>197</v>
      </c>
      <c r="G3" s="4" t="s">
        <v>38</v>
      </c>
      <c r="H3" s="4" t="s">
        <v>198</v>
      </c>
      <c r="I3" s="4" t="s">
        <v>199</v>
      </c>
      <c r="J3" s="4" t="s">
        <v>41</v>
      </c>
      <c r="K3" s="4" t="s">
        <v>42</v>
      </c>
    </row>
    <row r="4" ht="40" customHeight="1" spans="1:11">
      <c r="A4" s="5">
        <v>2</v>
      </c>
      <c r="B4" s="5" t="s">
        <v>200</v>
      </c>
      <c r="C4" s="5" t="s">
        <v>201</v>
      </c>
      <c r="D4" s="5">
        <v>2024</v>
      </c>
      <c r="E4" s="5" t="s">
        <v>45</v>
      </c>
      <c r="F4" s="5" t="s">
        <v>17</v>
      </c>
      <c r="G4" s="5" t="s">
        <v>46</v>
      </c>
      <c r="H4" s="5" t="s">
        <v>47</v>
      </c>
      <c r="I4" s="5" t="s">
        <v>202</v>
      </c>
      <c r="J4" s="5" t="s">
        <v>41</v>
      </c>
      <c r="K4" s="5" t="s">
        <v>49</v>
      </c>
    </row>
    <row r="5" ht="40" customHeight="1" spans="1:11">
      <c r="A5" s="9">
        <v>3</v>
      </c>
      <c r="B5" s="9" t="s">
        <v>203</v>
      </c>
      <c r="C5" s="9" t="s">
        <v>204</v>
      </c>
      <c r="D5" s="9">
        <v>2015</v>
      </c>
      <c r="E5" s="9" t="s">
        <v>45</v>
      </c>
      <c r="F5" s="9" t="s">
        <v>17</v>
      </c>
      <c r="G5" s="9" t="s">
        <v>46</v>
      </c>
      <c r="H5" s="9" t="s">
        <v>47</v>
      </c>
      <c r="I5" s="9" t="s">
        <v>205</v>
      </c>
      <c r="J5" s="9" t="s">
        <v>41</v>
      </c>
      <c r="K5" s="9" t="s">
        <v>49</v>
      </c>
    </row>
    <row r="6" ht="40" customHeight="1" spans="1:11">
      <c r="A6" s="5">
        <v>4</v>
      </c>
      <c r="B6" s="5" t="s">
        <v>206</v>
      </c>
      <c r="C6" s="5" t="s">
        <v>207</v>
      </c>
      <c r="D6" s="5">
        <v>2009</v>
      </c>
      <c r="E6" s="5" t="s">
        <v>208</v>
      </c>
      <c r="F6" s="5" t="s">
        <v>209</v>
      </c>
      <c r="G6" s="5" t="s">
        <v>46</v>
      </c>
      <c r="H6" s="5" t="s">
        <v>210</v>
      </c>
      <c r="I6" s="5" t="s">
        <v>211</v>
      </c>
      <c r="J6" s="5" t="s">
        <v>41</v>
      </c>
      <c r="K6" s="5" t="s">
        <v>59</v>
      </c>
    </row>
    <row r="7" ht="40" customHeight="1" spans="1:11">
      <c r="A7" s="9">
        <v>5</v>
      </c>
      <c r="B7" s="9" t="s">
        <v>212</v>
      </c>
      <c r="C7" s="9" t="s">
        <v>213</v>
      </c>
      <c r="D7" s="9">
        <v>2009</v>
      </c>
      <c r="E7" s="9" t="s">
        <v>45</v>
      </c>
      <c r="F7" s="9" t="s">
        <v>17</v>
      </c>
      <c r="G7" s="9" t="s">
        <v>46</v>
      </c>
      <c r="H7" s="9" t="s">
        <v>47</v>
      </c>
      <c r="I7" s="9" t="s">
        <v>214</v>
      </c>
      <c r="J7" s="9" t="s">
        <v>41</v>
      </c>
      <c r="K7" s="9" t="s">
        <v>59</v>
      </c>
    </row>
    <row r="8" ht="40" customHeight="1" spans="1:11">
      <c r="A8" s="5">
        <v>6</v>
      </c>
      <c r="B8" s="5" t="s">
        <v>215</v>
      </c>
      <c r="C8" s="5" t="s">
        <v>216</v>
      </c>
      <c r="D8" s="5">
        <v>2018</v>
      </c>
      <c r="E8" s="5" t="s">
        <v>192</v>
      </c>
      <c r="F8" s="5" t="s">
        <v>17</v>
      </c>
      <c r="G8" s="5" t="s">
        <v>46</v>
      </c>
      <c r="H8" s="5" t="s">
        <v>47</v>
      </c>
      <c r="I8" s="5" t="s">
        <v>217</v>
      </c>
      <c r="J8" s="5" t="s">
        <v>218</v>
      </c>
      <c r="K8" s="5" t="s">
        <v>49</v>
      </c>
    </row>
    <row r="9" ht="40" customHeight="1" spans="1:11">
      <c r="A9" s="9">
        <v>7</v>
      </c>
      <c r="B9" s="9" t="s">
        <v>219</v>
      </c>
      <c r="C9" s="9" t="s">
        <v>220</v>
      </c>
      <c r="D9" s="9">
        <v>2014</v>
      </c>
      <c r="E9" s="9" t="s">
        <v>192</v>
      </c>
      <c r="F9" s="9" t="s">
        <v>17</v>
      </c>
      <c r="G9" s="9" t="s">
        <v>46</v>
      </c>
      <c r="H9" s="9" t="s">
        <v>47</v>
      </c>
      <c r="I9" s="9" t="s">
        <v>221</v>
      </c>
      <c r="J9" s="9" t="s">
        <v>41</v>
      </c>
      <c r="K9" s="9" t="s">
        <v>59</v>
      </c>
    </row>
    <row r="10" ht="40" customHeight="1" spans="1:11">
      <c r="A10" s="5">
        <v>8</v>
      </c>
      <c r="B10" s="5" t="s">
        <v>222</v>
      </c>
      <c r="C10" s="5" t="s">
        <v>223</v>
      </c>
      <c r="D10" s="5">
        <v>2009</v>
      </c>
      <c r="E10" s="5" t="s">
        <v>45</v>
      </c>
      <c r="F10" s="5" t="s">
        <v>17</v>
      </c>
      <c r="G10" s="5" t="s">
        <v>46</v>
      </c>
      <c r="H10" s="5" t="s">
        <v>47</v>
      </c>
      <c r="I10" s="5" t="s">
        <v>224</v>
      </c>
      <c r="J10" s="5" t="s">
        <v>41</v>
      </c>
      <c r="K10" s="5" t="s">
        <v>59</v>
      </c>
    </row>
    <row r="11" ht="40" customHeight="1" spans="1:11">
      <c r="A11" s="9">
        <v>9</v>
      </c>
      <c r="B11" s="9" t="s">
        <v>225</v>
      </c>
      <c r="C11" s="9" t="s">
        <v>226</v>
      </c>
      <c r="D11" s="9">
        <v>2016</v>
      </c>
      <c r="E11" s="9" t="s">
        <v>45</v>
      </c>
      <c r="F11" s="9" t="s">
        <v>17</v>
      </c>
      <c r="G11" s="9" t="s">
        <v>46</v>
      </c>
      <c r="H11" s="9" t="s">
        <v>47</v>
      </c>
      <c r="I11" s="9" t="s">
        <v>227</v>
      </c>
      <c r="J11" s="9" t="s">
        <v>41</v>
      </c>
      <c r="K11" s="9" t="s">
        <v>59</v>
      </c>
    </row>
    <row r="12" ht="40" customHeight="1" spans="1:11">
      <c r="A12" s="5">
        <v>10</v>
      </c>
      <c r="B12" s="5" t="s">
        <v>228</v>
      </c>
      <c r="C12" s="5" t="s">
        <v>229</v>
      </c>
      <c r="D12" s="5">
        <v>2017</v>
      </c>
      <c r="E12" s="5" t="s">
        <v>45</v>
      </c>
      <c r="F12" s="5" t="s">
        <v>17</v>
      </c>
      <c r="G12" s="5" t="s">
        <v>46</v>
      </c>
      <c r="H12" s="5" t="s">
        <v>47</v>
      </c>
      <c r="I12" s="5" t="s">
        <v>230</v>
      </c>
      <c r="J12" s="5" t="s">
        <v>231</v>
      </c>
      <c r="K12" s="5" t="s">
        <v>59</v>
      </c>
    </row>
    <row r="13" ht="40" customHeight="1" spans="1:11">
      <c r="A13" s="9">
        <v>11</v>
      </c>
      <c r="B13" s="9" t="s">
        <v>232</v>
      </c>
      <c r="C13" s="9" t="s">
        <v>233</v>
      </c>
      <c r="D13" s="9">
        <v>2021</v>
      </c>
      <c r="E13" s="9" t="s">
        <v>45</v>
      </c>
      <c r="F13" s="9" t="s">
        <v>17</v>
      </c>
      <c r="G13" s="9" t="s">
        <v>46</v>
      </c>
      <c r="H13" s="9" t="s">
        <v>47</v>
      </c>
      <c r="I13" s="9" t="s">
        <v>234</v>
      </c>
      <c r="J13" s="9" t="s">
        <v>41</v>
      </c>
      <c r="K13" s="9" t="s">
        <v>59</v>
      </c>
    </row>
    <row r="14" ht="40" customHeight="1" spans="1:11">
      <c r="A14" s="5">
        <v>12</v>
      </c>
      <c r="B14" s="5" t="s">
        <v>235</v>
      </c>
      <c r="C14" s="5" t="s">
        <v>236</v>
      </c>
      <c r="D14" s="5">
        <v>2019</v>
      </c>
      <c r="E14" s="5" t="s">
        <v>45</v>
      </c>
      <c r="F14" s="5" t="s">
        <v>17</v>
      </c>
      <c r="G14" s="5" t="s">
        <v>46</v>
      </c>
      <c r="H14" s="5" t="s">
        <v>47</v>
      </c>
      <c r="I14" s="5" t="s">
        <v>237</v>
      </c>
      <c r="J14" s="5" t="s">
        <v>41</v>
      </c>
      <c r="K14" s="5" t="s">
        <v>59</v>
      </c>
    </row>
    <row r="15" ht="40" customHeight="1" spans="1:11">
      <c r="A15" s="9">
        <v>13</v>
      </c>
      <c r="B15" s="9" t="s">
        <v>238</v>
      </c>
      <c r="C15" s="9" t="s">
        <v>239</v>
      </c>
      <c r="D15" s="9">
        <v>2018</v>
      </c>
      <c r="E15" s="9" t="s">
        <v>45</v>
      </c>
      <c r="F15" s="9" t="s">
        <v>17</v>
      </c>
      <c r="G15" s="9" t="s">
        <v>46</v>
      </c>
      <c r="H15" s="9" t="s">
        <v>47</v>
      </c>
      <c r="I15" s="9" t="s">
        <v>240</v>
      </c>
      <c r="J15" s="9" t="s">
        <v>41</v>
      </c>
      <c r="K15" s="9" t="s">
        <v>59</v>
      </c>
    </row>
    <row r="16" ht="40" customHeight="1" spans="1:11">
      <c r="A16" s="5">
        <v>14</v>
      </c>
      <c r="B16" s="5" t="s">
        <v>241</v>
      </c>
      <c r="C16" s="5" t="s">
        <v>242</v>
      </c>
      <c r="D16" s="5">
        <v>2017</v>
      </c>
      <c r="E16" s="5" t="s">
        <v>45</v>
      </c>
      <c r="F16" s="5" t="s">
        <v>17</v>
      </c>
      <c r="G16" s="5" t="s">
        <v>46</v>
      </c>
      <c r="H16" s="5" t="s">
        <v>47</v>
      </c>
      <c r="I16" s="5" t="s">
        <v>243</v>
      </c>
      <c r="J16" s="5" t="s">
        <v>41</v>
      </c>
      <c r="K16" s="5" t="s">
        <v>59</v>
      </c>
    </row>
    <row r="17" ht="40" customHeight="1" spans="1:11">
      <c r="A17" s="9">
        <v>15</v>
      </c>
      <c r="B17" s="9" t="s">
        <v>244</v>
      </c>
      <c r="C17" s="9" t="s">
        <v>245</v>
      </c>
      <c r="D17" s="9">
        <v>2011</v>
      </c>
      <c r="E17" s="9" t="s">
        <v>45</v>
      </c>
      <c r="F17" s="9" t="s">
        <v>17</v>
      </c>
      <c r="G17" s="9" t="s">
        <v>46</v>
      </c>
      <c r="H17" s="9" t="s">
        <v>47</v>
      </c>
      <c r="I17" s="9" t="s">
        <v>246</v>
      </c>
      <c r="J17" s="9" t="s">
        <v>41</v>
      </c>
      <c r="K17" s="9" t="s">
        <v>59</v>
      </c>
    </row>
    <row r="18" s="1" customFormat="1" ht="40" customHeight="1" spans="1:11">
      <c r="A18" s="4">
        <v>16</v>
      </c>
      <c r="B18" s="4" t="s">
        <v>247</v>
      </c>
      <c r="C18" s="4" t="s">
        <v>248</v>
      </c>
      <c r="D18" s="4">
        <v>2013</v>
      </c>
      <c r="E18" s="4" t="s">
        <v>249</v>
      </c>
      <c r="F18" s="4" t="s">
        <v>17</v>
      </c>
      <c r="G18" s="4" t="s">
        <v>46</v>
      </c>
      <c r="H18" s="4" t="s">
        <v>99</v>
      </c>
      <c r="I18" s="4" t="s">
        <v>250</v>
      </c>
      <c r="J18" s="4" t="s">
        <v>101</v>
      </c>
      <c r="K18" s="4" t="s">
        <v>251</v>
      </c>
    </row>
    <row r="19" s="8" customFormat="1" ht="40" customHeight="1" spans="1:11">
      <c r="A19" s="4">
        <v>17</v>
      </c>
      <c r="B19" s="4" t="s">
        <v>252</v>
      </c>
      <c r="C19" s="4" t="s">
        <v>253</v>
      </c>
      <c r="D19" s="4">
        <v>2012</v>
      </c>
      <c r="E19" s="4" t="s">
        <v>98</v>
      </c>
      <c r="F19" s="4" t="s">
        <v>17</v>
      </c>
      <c r="G19" s="4" t="s">
        <v>46</v>
      </c>
      <c r="H19" s="4" t="s">
        <v>99</v>
      </c>
      <c r="I19" s="4" t="s">
        <v>254</v>
      </c>
      <c r="J19" s="4" t="s">
        <v>101</v>
      </c>
      <c r="K19" s="4" t="s">
        <v>255</v>
      </c>
    </row>
    <row r="20" s="1" customFormat="1" ht="40" customHeight="1" spans="1:11">
      <c r="A20" s="4">
        <v>18</v>
      </c>
      <c r="B20" s="4" t="s">
        <v>256</v>
      </c>
      <c r="C20" s="4" t="s">
        <v>257</v>
      </c>
      <c r="D20" s="4">
        <v>2009</v>
      </c>
      <c r="E20" s="4" t="s">
        <v>98</v>
      </c>
      <c r="F20" s="4" t="s">
        <v>17</v>
      </c>
      <c r="G20" s="4" t="s">
        <v>46</v>
      </c>
      <c r="H20" s="4" t="s">
        <v>99</v>
      </c>
      <c r="I20" s="4" t="s">
        <v>258</v>
      </c>
      <c r="J20" s="4" t="s">
        <v>101</v>
      </c>
      <c r="K20" s="4" t="s">
        <v>255</v>
      </c>
    </row>
    <row r="21" s="8" customFormat="1" ht="40" customHeight="1" spans="1:11">
      <c r="A21" s="4">
        <v>19</v>
      </c>
      <c r="B21" s="4" t="s">
        <v>259</v>
      </c>
      <c r="C21" s="4" t="s">
        <v>260</v>
      </c>
      <c r="D21" s="4">
        <v>2015</v>
      </c>
      <c r="E21" s="4" t="s">
        <v>98</v>
      </c>
      <c r="F21" s="4" t="s">
        <v>17</v>
      </c>
      <c r="G21" s="4" t="s">
        <v>46</v>
      </c>
      <c r="H21" s="4" t="s">
        <v>99</v>
      </c>
      <c r="I21" s="4" t="s">
        <v>261</v>
      </c>
      <c r="J21" s="4" t="s">
        <v>101</v>
      </c>
      <c r="K21" s="4" t="s">
        <v>262</v>
      </c>
    </row>
    <row r="22" ht="40" customHeight="1" spans="1:11">
      <c r="A22" s="5">
        <v>20</v>
      </c>
      <c r="B22" s="5" t="s">
        <v>263</v>
      </c>
      <c r="C22" s="5" t="s">
        <v>264</v>
      </c>
      <c r="D22" s="5">
        <v>2006</v>
      </c>
      <c r="E22" s="5" t="s">
        <v>265</v>
      </c>
      <c r="F22" s="5" t="s">
        <v>266</v>
      </c>
      <c r="G22" s="5" t="s">
        <v>46</v>
      </c>
      <c r="H22" s="5" t="s">
        <v>267</v>
      </c>
      <c r="I22" s="5" t="s">
        <v>268</v>
      </c>
      <c r="J22" s="5" t="s">
        <v>41</v>
      </c>
      <c r="K22" s="5" t="s">
        <v>59</v>
      </c>
    </row>
    <row r="23" ht="40" customHeight="1" spans="1:11">
      <c r="A23" s="9">
        <v>21</v>
      </c>
      <c r="B23" s="9" t="s">
        <v>269</v>
      </c>
      <c r="C23" s="9" t="s">
        <v>270</v>
      </c>
      <c r="D23" s="9">
        <v>1996</v>
      </c>
      <c r="E23" s="9" t="s">
        <v>65</v>
      </c>
      <c r="F23" s="9" t="s">
        <v>17</v>
      </c>
      <c r="G23" s="9" t="s">
        <v>46</v>
      </c>
      <c r="H23" s="9" t="s">
        <v>47</v>
      </c>
      <c r="I23" s="9" t="s">
        <v>271</v>
      </c>
      <c r="J23" s="9" t="s">
        <v>41</v>
      </c>
      <c r="K23" s="9" t="s">
        <v>68</v>
      </c>
    </row>
    <row r="24" ht="40" customHeight="1" spans="1:11">
      <c r="A24" s="5">
        <v>22</v>
      </c>
      <c r="B24" s="5" t="s">
        <v>272</v>
      </c>
      <c r="C24" s="5" t="s">
        <v>110</v>
      </c>
      <c r="D24" s="5">
        <v>2000</v>
      </c>
      <c r="E24" s="5" t="s">
        <v>273</v>
      </c>
      <c r="F24" s="5" t="s">
        <v>17</v>
      </c>
      <c r="G24" s="5" t="s">
        <v>46</v>
      </c>
      <c r="H24" s="5" t="s">
        <v>47</v>
      </c>
      <c r="I24" s="5" t="s">
        <v>274</v>
      </c>
      <c r="J24" s="5" t="s">
        <v>41</v>
      </c>
      <c r="K24" s="5" t="s">
        <v>68</v>
      </c>
    </row>
    <row r="25" ht="40" customHeight="1" spans="1:11">
      <c r="A25" s="9">
        <v>23</v>
      </c>
      <c r="B25" s="9" t="s">
        <v>275</v>
      </c>
      <c r="C25" s="9" t="s">
        <v>276</v>
      </c>
      <c r="D25" s="9">
        <v>1996</v>
      </c>
      <c r="E25" s="9" t="s">
        <v>65</v>
      </c>
      <c r="F25" s="9" t="s">
        <v>17</v>
      </c>
      <c r="G25" s="9" t="s">
        <v>46</v>
      </c>
      <c r="H25" s="9" t="s">
        <v>47</v>
      </c>
      <c r="I25" s="9" t="s">
        <v>277</v>
      </c>
      <c r="J25" s="9" t="s">
        <v>41</v>
      </c>
      <c r="K25" s="9" t="s">
        <v>68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20"/>
  <sheetViews>
    <sheetView workbookViewId="0">
      <pane ySplit="2" topLeftCell="A13" activePane="bottomLeft" state="frozen"/>
      <selection/>
      <selection pane="bottomLeft" activeCell="B27" sqref="B27"/>
    </sheetView>
  </sheetViews>
  <sheetFormatPr defaultColWidth="9" defaultRowHeight="14.4"/>
  <cols>
    <col min="1" max="1" width="6" customWidth="1"/>
    <col min="2" max="2" width="50" customWidth="1"/>
    <col min="3" max="3" width="35" customWidth="1"/>
    <col min="4" max="4" width="8" customWidth="1"/>
    <col min="5" max="5" width="30" customWidth="1"/>
    <col min="6" max="6" width="25" customWidth="1"/>
    <col min="7" max="7" width="12" customWidth="1"/>
    <col min="8" max="8" width="50" customWidth="1"/>
    <col min="9" max="9" width="40" customWidth="1"/>
    <col min="10" max="11" width="12" customWidth="1"/>
  </cols>
  <sheetData>
    <row r="1" ht="30" customHeight="1" spans="1:1">
      <c r="A1" s="2" t="s">
        <v>278</v>
      </c>
    </row>
    <row r="2" ht="25" customHeight="1" spans="1:1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ht="40" customHeight="1" spans="1:11">
      <c r="A3" s="7">
        <v>1</v>
      </c>
      <c r="B3" s="7" t="s">
        <v>279</v>
      </c>
      <c r="C3" s="7" t="s">
        <v>280</v>
      </c>
      <c r="D3" s="7">
        <v>1979</v>
      </c>
      <c r="E3" s="7" t="s">
        <v>281</v>
      </c>
      <c r="F3" s="7" t="s">
        <v>17</v>
      </c>
      <c r="G3" s="7" t="s">
        <v>46</v>
      </c>
      <c r="H3" s="7" t="s">
        <v>282</v>
      </c>
      <c r="I3" s="7" t="s">
        <v>283</v>
      </c>
      <c r="J3" s="7" t="s">
        <v>41</v>
      </c>
      <c r="K3" s="7" t="s">
        <v>284</v>
      </c>
    </row>
    <row r="4" ht="40" customHeight="1" spans="1:11">
      <c r="A4" s="5">
        <v>2</v>
      </c>
      <c r="B4" s="5" t="s">
        <v>285</v>
      </c>
      <c r="C4" s="5" t="s">
        <v>286</v>
      </c>
      <c r="D4" s="5">
        <v>2007</v>
      </c>
      <c r="E4" s="5" t="s">
        <v>287</v>
      </c>
      <c r="F4" s="5" t="s">
        <v>288</v>
      </c>
      <c r="G4" s="5" t="s">
        <v>46</v>
      </c>
      <c r="H4" s="5" t="s">
        <v>289</v>
      </c>
      <c r="I4" s="5" t="s">
        <v>290</v>
      </c>
      <c r="J4" s="5" t="s">
        <v>105</v>
      </c>
      <c r="K4" s="5" t="s">
        <v>291</v>
      </c>
    </row>
    <row r="5" ht="40" customHeight="1" spans="1:11">
      <c r="A5" s="7">
        <v>3</v>
      </c>
      <c r="B5" s="7" t="s">
        <v>292</v>
      </c>
      <c r="C5" s="7" t="s">
        <v>293</v>
      </c>
      <c r="D5" s="7">
        <v>2015</v>
      </c>
      <c r="E5" s="7" t="s">
        <v>294</v>
      </c>
      <c r="F5" s="7" t="s">
        <v>295</v>
      </c>
      <c r="G5" s="7" t="s">
        <v>46</v>
      </c>
      <c r="H5" s="7" t="s">
        <v>296</v>
      </c>
      <c r="I5" s="7" t="s">
        <v>297</v>
      </c>
      <c r="J5" s="7" t="s">
        <v>41</v>
      </c>
      <c r="K5" s="7" t="s">
        <v>42</v>
      </c>
    </row>
    <row r="6" ht="40" customHeight="1" spans="1:11">
      <c r="A6" s="5">
        <v>4</v>
      </c>
      <c r="B6" s="5" t="s">
        <v>298</v>
      </c>
      <c r="C6" s="5" t="s">
        <v>299</v>
      </c>
      <c r="D6" s="5">
        <v>2006</v>
      </c>
      <c r="E6" s="5" t="s">
        <v>300</v>
      </c>
      <c r="F6" s="5" t="s">
        <v>17</v>
      </c>
      <c r="G6" s="5" t="s">
        <v>46</v>
      </c>
      <c r="H6" s="5" t="s">
        <v>47</v>
      </c>
      <c r="I6" s="5" t="s">
        <v>301</v>
      </c>
      <c r="J6" s="5" t="s">
        <v>41</v>
      </c>
      <c r="K6" s="5" t="s">
        <v>49</v>
      </c>
    </row>
    <row r="7" ht="40" customHeight="1" spans="1:11">
      <c r="A7" s="7">
        <v>5</v>
      </c>
      <c r="B7" s="7" t="s">
        <v>302</v>
      </c>
      <c r="C7" s="7" t="s">
        <v>303</v>
      </c>
      <c r="D7" s="7">
        <v>1995</v>
      </c>
      <c r="E7" s="7" t="s">
        <v>273</v>
      </c>
      <c r="F7" s="7" t="s">
        <v>17</v>
      </c>
      <c r="G7" s="7" t="s">
        <v>46</v>
      </c>
      <c r="H7" s="7" t="s">
        <v>304</v>
      </c>
      <c r="I7" s="7" t="s">
        <v>305</v>
      </c>
      <c r="J7" s="7" t="s">
        <v>41</v>
      </c>
      <c r="K7" s="7" t="s">
        <v>68</v>
      </c>
    </row>
    <row r="8" ht="40" customHeight="1" spans="1:11">
      <c r="A8" s="5">
        <v>6</v>
      </c>
      <c r="B8" s="5" t="s">
        <v>150</v>
      </c>
      <c r="C8" s="5" t="s">
        <v>151</v>
      </c>
      <c r="D8" s="5">
        <v>2016</v>
      </c>
      <c r="E8" s="5" t="s">
        <v>45</v>
      </c>
      <c r="F8" s="5" t="s">
        <v>17</v>
      </c>
      <c r="G8" s="5" t="s">
        <v>46</v>
      </c>
      <c r="H8" s="5" t="s">
        <v>47</v>
      </c>
      <c r="I8" s="5" t="s">
        <v>152</v>
      </c>
      <c r="J8" s="5" t="s">
        <v>41</v>
      </c>
      <c r="K8" s="5" t="s">
        <v>49</v>
      </c>
    </row>
    <row r="9" ht="40" customHeight="1" spans="1:11">
      <c r="A9" s="7">
        <v>7</v>
      </c>
      <c r="B9" s="7" t="s">
        <v>306</v>
      </c>
      <c r="C9" s="7" t="s">
        <v>307</v>
      </c>
      <c r="D9" s="7">
        <v>2007</v>
      </c>
      <c r="E9" s="7" t="s">
        <v>45</v>
      </c>
      <c r="F9" s="7" t="s">
        <v>17</v>
      </c>
      <c r="G9" s="7" t="s">
        <v>46</v>
      </c>
      <c r="H9" s="7" t="s">
        <v>47</v>
      </c>
      <c r="I9" s="7" t="s">
        <v>308</v>
      </c>
      <c r="J9" s="7" t="s">
        <v>41</v>
      </c>
      <c r="K9" s="7" t="s">
        <v>49</v>
      </c>
    </row>
    <row r="10" ht="40" customHeight="1" spans="1:11">
      <c r="A10" s="5">
        <v>8</v>
      </c>
      <c r="B10" s="5" t="s">
        <v>109</v>
      </c>
      <c r="C10" s="5" t="s">
        <v>110</v>
      </c>
      <c r="D10" s="5">
        <v>2001</v>
      </c>
      <c r="E10" s="5" t="s">
        <v>111</v>
      </c>
      <c r="F10" s="5" t="s">
        <v>17</v>
      </c>
      <c r="G10" s="5" t="s">
        <v>46</v>
      </c>
      <c r="H10" s="5" t="s">
        <v>112</v>
      </c>
      <c r="I10" s="5" t="s">
        <v>309</v>
      </c>
      <c r="J10" s="5" t="s">
        <v>41</v>
      </c>
      <c r="K10" s="5" t="s">
        <v>68</v>
      </c>
    </row>
    <row r="11" ht="40" customHeight="1" spans="1:11">
      <c r="A11" s="7">
        <v>9</v>
      </c>
      <c r="B11" s="7" t="s">
        <v>310</v>
      </c>
      <c r="C11" s="7" t="s">
        <v>311</v>
      </c>
      <c r="D11" s="7">
        <v>2009</v>
      </c>
      <c r="E11" s="7" t="s">
        <v>45</v>
      </c>
      <c r="F11" s="7" t="s">
        <v>17</v>
      </c>
      <c r="G11" s="7" t="s">
        <v>46</v>
      </c>
      <c r="H11" s="7" t="s">
        <v>47</v>
      </c>
      <c r="I11" s="7" t="s">
        <v>312</v>
      </c>
      <c r="J11" s="7" t="s">
        <v>41</v>
      </c>
      <c r="K11" s="7" t="s">
        <v>59</v>
      </c>
    </row>
    <row r="12" ht="40" customHeight="1" spans="1:11">
      <c r="A12" s="5">
        <v>10</v>
      </c>
      <c r="B12" s="5" t="s">
        <v>313</v>
      </c>
      <c r="C12" s="5" t="s">
        <v>314</v>
      </c>
      <c r="D12" s="5">
        <v>2023</v>
      </c>
      <c r="E12" s="5" t="s">
        <v>45</v>
      </c>
      <c r="F12" s="5" t="s">
        <v>17</v>
      </c>
      <c r="G12" s="5" t="s">
        <v>46</v>
      </c>
      <c r="H12" s="5" t="s">
        <v>47</v>
      </c>
      <c r="I12" s="5" t="s">
        <v>315</v>
      </c>
      <c r="J12" s="5" t="s">
        <v>41</v>
      </c>
      <c r="K12" s="5" t="s">
        <v>59</v>
      </c>
    </row>
    <row r="13" ht="40" customHeight="1" spans="1:11">
      <c r="A13" s="7">
        <v>11</v>
      </c>
      <c r="B13" s="7" t="s">
        <v>272</v>
      </c>
      <c r="C13" s="7" t="s">
        <v>110</v>
      </c>
      <c r="D13" s="7">
        <v>2000</v>
      </c>
      <c r="E13" s="7" t="s">
        <v>273</v>
      </c>
      <c r="F13" s="7" t="s">
        <v>17</v>
      </c>
      <c r="G13" s="7" t="s">
        <v>46</v>
      </c>
      <c r="H13" s="7" t="s">
        <v>47</v>
      </c>
      <c r="I13" s="7" t="s">
        <v>316</v>
      </c>
      <c r="J13" s="7" t="s">
        <v>41</v>
      </c>
      <c r="K13" s="7" t="s">
        <v>68</v>
      </c>
    </row>
    <row r="14" ht="40" customHeight="1" spans="1:11">
      <c r="A14" s="5">
        <v>12</v>
      </c>
      <c r="B14" s="5" t="s">
        <v>317</v>
      </c>
      <c r="C14" s="5" t="s">
        <v>318</v>
      </c>
      <c r="D14" s="5">
        <v>2019</v>
      </c>
      <c r="E14" s="5" t="s">
        <v>45</v>
      </c>
      <c r="F14" s="5" t="s">
        <v>17</v>
      </c>
      <c r="G14" s="5" t="s">
        <v>46</v>
      </c>
      <c r="H14" s="5" t="s">
        <v>47</v>
      </c>
      <c r="I14" s="5" t="s">
        <v>319</v>
      </c>
      <c r="J14" s="5" t="s">
        <v>41</v>
      </c>
      <c r="K14" s="5" t="s">
        <v>59</v>
      </c>
    </row>
    <row r="15" ht="40" customHeight="1" spans="1:11">
      <c r="A15" s="7">
        <v>13</v>
      </c>
      <c r="B15" s="7" t="s">
        <v>320</v>
      </c>
      <c r="C15" s="7" t="s">
        <v>321</v>
      </c>
      <c r="D15" s="7">
        <v>2008</v>
      </c>
      <c r="E15" s="7" t="s">
        <v>45</v>
      </c>
      <c r="F15" s="7" t="s">
        <v>17</v>
      </c>
      <c r="G15" s="7" t="s">
        <v>46</v>
      </c>
      <c r="H15" s="7" t="s">
        <v>47</v>
      </c>
      <c r="I15" s="7" t="s">
        <v>322</v>
      </c>
      <c r="J15" s="7" t="s">
        <v>41</v>
      </c>
      <c r="K15" s="7" t="s">
        <v>59</v>
      </c>
    </row>
    <row r="16" ht="40" customHeight="1" spans="1:11">
      <c r="A16" s="5">
        <v>14</v>
      </c>
      <c r="B16" s="5" t="s">
        <v>323</v>
      </c>
      <c r="C16" s="5" t="s">
        <v>324</v>
      </c>
      <c r="D16" s="5">
        <v>2014</v>
      </c>
      <c r="E16" s="5" t="s">
        <v>45</v>
      </c>
      <c r="F16" s="5" t="s">
        <v>17</v>
      </c>
      <c r="G16" s="5" t="s">
        <v>46</v>
      </c>
      <c r="H16" s="5" t="s">
        <v>47</v>
      </c>
      <c r="I16" s="5" t="s">
        <v>325</v>
      </c>
      <c r="J16" s="5" t="s">
        <v>41</v>
      </c>
      <c r="K16" s="5" t="s">
        <v>59</v>
      </c>
    </row>
    <row r="17" ht="40" customHeight="1" spans="1:11">
      <c r="A17" s="7">
        <v>15</v>
      </c>
      <c r="B17" s="7" t="s">
        <v>326</v>
      </c>
      <c r="C17" s="7" t="s">
        <v>327</v>
      </c>
      <c r="D17" s="7">
        <v>1997</v>
      </c>
      <c r="E17" s="7" t="s">
        <v>45</v>
      </c>
      <c r="F17" s="7" t="s">
        <v>17</v>
      </c>
      <c r="G17" s="7" t="s">
        <v>46</v>
      </c>
      <c r="H17" s="7" t="s">
        <v>47</v>
      </c>
      <c r="I17" s="7" t="s">
        <v>328</v>
      </c>
      <c r="J17" s="7" t="s">
        <v>41</v>
      </c>
      <c r="K17" s="7" t="s">
        <v>59</v>
      </c>
    </row>
    <row r="18" ht="40" customHeight="1" spans="1:11">
      <c r="A18" s="5">
        <v>16</v>
      </c>
      <c r="B18" s="5" t="s">
        <v>329</v>
      </c>
      <c r="C18" s="5" t="s">
        <v>330</v>
      </c>
      <c r="D18" s="5">
        <v>2009</v>
      </c>
      <c r="E18" s="5" t="s">
        <v>45</v>
      </c>
      <c r="F18" s="5" t="s">
        <v>17</v>
      </c>
      <c r="G18" s="5" t="s">
        <v>46</v>
      </c>
      <c r="H18" s="5" t="s">
        <v>47</v>
      </c>
      <c r="I18" s="5" t="s">
        <v>331</v>
      </c>
      <c r="J18" s="5" t="s">
        <v>41</v>
      </c>
      <c r="K18" s="5" t="s">
        <v>59</v>
      </c>
    </row>
    <row r="19" ht="40" customHeight="1" spans="1:11">
      <c r="A19" s="7">
        <v>17</v>
      </c>
      <c r="B19" s="7" t="s">
        <v>332</v>
      </c>
      <c r="C19" s="7" t="s">
        <v>333</v>
      </c>
      <c r="D19" s="7">
        <v>2025</v>
      </c>
      <c r="E19" s="7" t="s">
        <v>334</v>
      </c>
      <c r="F19" s="7" t="s">
        <v>335</v>
      </c>
      <c r="G19" s="7" t="s">
        <v>46</v>
      </c>
      <c r="H19" s="7" t="s">
        <v>336</v>
      </c>
      <c r="I19" s="7" t="s">
        <v>337</v>
      </c>
      <c r="J19" s="7" t="s">
        <v>41</v>
      </c>
      <c r="K19" s="7" t="s">
        <v>59</v>
      </c>
    </row>
    <row r="20" ht="40" customHeight="1" spans="1:11">
      <c r="A20" s="5">
        <v>18</v>
      </c>
      <c r="B20" s="5" t="s">
        <v>338</v>
      </c>
      <c r="C20" s="5" t="s">
        <v>339</v>
      </c>
      <c r="D20" s="5">
        <v>2023</v>
      </c>
      <c r="E20" s="5" t="s">
        <v>340</v>
      </c>
      <c r="F20" s="5" t="s">
        <v>341</v>
      </c>
      <c r="G20" s="5" t="s">
        <v>46</v>
      </c>
      <c r="H20" s="5" t="s">
        <v>342</v>
      </c>
      <c r="I20" s="5" t="s">
        <v>343</v>
      </c>
      <c r="J20" s="5" t="s">
        <v>41</v>
      </c>
      <c r="K20" s="5" t="s">
        <v>59</v>
      </c>
    </row>
  </sheetData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19"/>
  <sheetViews>
    <sheetView tabSelected="1" workbookViewId="0">
      <pane ySplit="2" topLeftCell="A3" activePane="bottomLeft" state="frozen"/>
      <selection/>
      <selection pane="bottomLeft" activeCell="C7" sqref="C7"/>
    </sheetView>
  </sheetViews>
  <sheetFormatPr defaultColWidth="9" defaultRowHeight="14.4"/>
  <cols>
    <col min="1" max="1" width="6" customWidth="1"/>
    <col min="2" max="2" width="50" customWidth="1"/>
    <col min="3" max="3" width="35" customWidth="1"/>
    <col min="4" max="4" width="8" customWidth="1"/>
    <col min="5" max="5" width="30" customWidth="1"/>
    <col min="6" max="6" width="25" customWidth="1"/>
    <col min="7" max="7" width="12" customWidth="1"/>
    <col min="8" max="8" width="50" customWidth="1"/>
    <col min="9" max="9" width="40" customWidth="1"/>
    <col min="10" max="11" width="12" customWidth="1"/>
  </cols>
  <sheetData>
    <row r="1" ht="30" customHeight="1" spans="1:1">
      <c r="A1" s="2" t="s">
        <v>344</v>
      </c>
    </row>
    <row r="2" ht="25" customHeight="1" spans="1:1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="1" customFormat="1" ht="40" customHeight="1" spans="1:11">
      <c r="A3" s="4">
        <v>1</v>
      </c>
      <c r="B3" s="4" t="s">
        <v>345</v>
      </c>
      <c r="C3" s="4" t="s">
        <v>346</v>
      </c>
      <c r="D3" s="4">
        <v>2026</v>
      </c>
      <c r="E3" s="4" t="s">
        <v>347</v>
      </c>
      <c r="F3" s="4" t="s">
        <v>17</v>
      </c>
      <c r="G3" s="4" t="s">
        <v>38</v>
      </c>
      <c r="H3" s="4" t="s">
        <v>348</v>
      </c>
      <c r="I3" s="4" t="s">
        <v>349</v>
      </c>
      <c r="J3" s="4" t="s">
        <v>41</v>
      </c>
      <c r="K3" s="4" t="s">
        <v>42</v>
      </c>
    </row>
    <row r="4" ht="40" customHeight="1" spans="1:11">
      <c r="A4" s="5">
        <v>2</v>
      </c>
      <c r="B4" s="5" t="s">
        <v>350</v>
      </c>
      <c r="C4" s="5" t="s">
        <v>351</v>
      </c>
      <c r="D4" s="5">
        <v>2022</v>
      </c>
      <c r="E4" s="5" t="s">
        <v>164</v>
      </c>
      <c r="F4" s="5" t="s">
        <v>352</v>
      </c>
      <c r="G4" s="5" t="s">
        <v>46</v>
      </c>
      <c r="H4" s="5" t="s">
        <v>353</v>
      </c>
      <c r="I4" s="5" t="s">
        <v>354</v>
      </c>
      <c r="J4" s="5" t="s">
        <v>41</v>
      </c>
      <c r="K4" s="5" t="s">
        <v>42</v>
      </c>
    </row>
    <row r="5" ht="40" customHeight="1" spans="1:11">
      <c r="A5" s="6">
        <v>3</v>
      </c>
      <c r="B5" s="6" t="s">
        <v>355</v>
      </c>
      <c r="C5" s="6" t="s">
        <v>356</v>
      </c>
      <c r="D5" s="6">
        <v>2022</v>
      </c>
      <c r="E5" s="6" t="s">
        <v>45</v>
      </c>
      <c r="F5" s="6" t="s">
        <v>17</v>
      </c>
      <c r="G5" s="6" t="s">
        <v>46</v>
      </c>
      <c r="H5" s="6" t="s">
        <v>47</v>
      </c>
      <c r="I5" s="6" t="s">
        <v>357</v>
      </c>
      <c r="J5" s="6" t="s">
        <v>41</v>
      </c>
      <c r="K5" s="6" t="s">
        <v>49</v>
      </c>
    </row>
    <row r="6" ht="40" customHeight="1" spans="1:11">
      <c r="A6" s="5">
        <v>4</v>
      </c>
      <c r="B6" s="5" t="s">
        <v>358</v>
      </c>
      <c r="C6" s="5" t="s">
        <v>359</v>
      </c>
      <c r="D6" s="5">
        <v>2021</v>
      </c>
      <c r="E6" s="5" t="s">
        <v>45</v>
      </c>
      <c r="F6" s="5" t="s">
        <v>17</v>
      </c>
      <c r="G6" s="5" t="s">
        <v>46</v>
      </c>
      <c r="H6" s="5" t="s">
        <v>47</v>
      </c>
      <c r="I6" s="5" t="s">
        <v>360</v>
      </c>
      <c r="J6" s="5" t="s">
        <v>41</v>
      </c>
      <c r="K6" s="5" t="s">
        <v>49</v>
      </c>
    </row>
    <row r="7" ht="40" customHeight="1" spans="1:11">
      <c r="A7" s="6">
        <v>5</v>
      </c>
      <c r="B7" s="6" t="s">
        <v>361</v>
      </c>
      <c r="C7" s="6" t="s">
        <v>362</v>
      </c>
      <c r="D7" s="6">
        <v>2016</v>
      </c>
      <c r="E7" s="6" t="s">
        <v>45</v>
      </c>
      <c r="F7" s="6" t="s">
        <v>17</v>
      </c>
      <c r="G7" s="6" t="s">
        <v>46</v>
      </c>
      <c r="H7" s="6" t="s">
        <v>47</v>
      </c>
      <c r="I7" s="6" t="s">
        <v>363</v>
      </c>
      <c r="J7" s="6" t="s">
        <v>41</v>
      </c>
      <c r="K7" s="6" t="s">
        <v>49</v>
      </c>
    </row>
    <row r="8" ht="40" customHeight="1" spans="1:11">
      <c r="A8" s="5">
        <v>6</v>
      </c>
      <c r="B8" s="5" t="s">
        <v>364</v>
      </c>
      <c r="C8" s="5" t="s">
        <v>365</v>
      </c>
      <c r="D8" s="5">
        <v>2026</v>
      </c>
      <c r="E8" s="5" t="s">
        <v>45</v>
      </c>
      <c r="F8" s="5" t="s">
        <v>17</v>
      </c>
      <c r="G8" s="5" t="s">
        <v>46</v>
      </c>
      <c r="H8" s="5" t="s">
        <v>47</v>
      </c>
      <c r="I8" s="5" t="s">
        <v>366</v>
      </c>
      <c r="J8" s="5" t="s">
        <v>41</v>
      </c>
      <c r="K8" s="5" t="s">
        <v>49</v>
      </c>
    </row>
    <row r="9" ht="40" customHeight="1" spans="1:11">
      <c r="A9" s="6">
        <v>7</v>
      </c>
      <c r="B9" s="6" t="s">
        <v>367</v>
      </c>
      <c r="C9" s="6" t="s">
        <v>368</v>
      </c>
      <c r="D9" s="6">
        <v>2023</v>
      </c>
      <c r="E9" s="6" t="s">
        <v>369</v>
      </c>
      <c r="F9" s="6" t="s">
        <v>17</v>
      </c>
      <c r="G9" s="6" t="s">
        <v>46</v>
      </c>
      <c r="H9" s="6" t="s">
        <v>47</v>
      </c>
      <c r="I9" s="6" t="s">
        <v>370</v>
      </c>
      <c r="J9" s="6" t="s">
        <v>41</v>
      </c>
      <c r="K9" s="6" t="s">
        <v>59</v>
      </c>
    </row>
    <row r="10" ht="40" customHeight="1" spans="1:11">
      <c r="A10" s="5">
        <v>8</v>
      </c>
      <c r="B10" s="5" t="s">
        <v>371</v>
      </c>
      <c r="C10" s="5" t="s">
        <v>372</v>
      </c>
      <c r="D10" s="5">
        <v>2025</v>
      </c>
      <c r="E10" s="5" t="s">
        <v>45</v>
      </c>
      <c r="F10" s="5" t="s">
        <v>17</v>
      </c>
      <c r="G10" s="5" t="s">
        <v>46</v>
      </c>
      <c r="H10" s="5" t="s">
        <v>47</v>
      </c>
      <c r="I10" s="5" t="s">
        <v>373</v>
      </c>
      <c r="J10" s="5" t="s">
        <v>41</v>
      </c>
      <c r="K10" s="5" t="s">
        <v>59</v>
      </c>
    </row>
    <row r="11" ht="40" customHeight="1" spans="1:11">
      <c r="A11" s="6">
        <v>9</v>
      </c>
      <c r="B11" s="6" t="s">
        <v>374</v>
      </c>
      <c r="C11" s="6" t="s">
        <v>375</v>
      </c>
      <c r="D11" s="6">
        <v>2023</v>
      </c>
      <c r="E11" s="6" t="s">
        <v>45</v>
      </c>
      <c r="F11" s="6" t="s">
        <v>17</v>
      </c>
      <c r="G11" s="6" t="s">
        <v>46</v>
      </c>
      <c r="H11" s="6" t="s">
        <v>47</v>
      </c>
      <c r="I11" s="6" t="s">
        <v>376</v>
      </c>
      <c r="J11" s="6" t="s">
        <v>41</v>
      </c>
      <c r="K11" s="6" t="s">
        <v>59</v>
      </c>
    </row>
    <row r="12" ht="40" customHeight="1" spans="1:11">
      <c r="A12" s="5">
        <v>10</v>
      </c>
      <c r="B12" s="5" t="s">
        <v>377</v>
      </c>
      <c r="C12" s="5" t="s">
        <v>378</v>
      </c>
      <c r="D12" s="5">
        <v>2014</v>
      </c>
      <c r="E12" s="5" t="s">
        <v>379</v>
      </c>
      <c r="F12" s="5" t="s">
        <v>380</v>
      </c>
      <c r="G12" s="5" t="s">
        <v>46</v>
      </c>
      <c r="H12" s="5" t="s">
        <v>381</v>
      </c>
      <c r="I12" s="5" t="s">
        <v>382</v>
      </c>
      <c r="J12" s="5" t="s">
        <v>41</v>
      </c>
      <c r="K12" s="5" t="s">
        <v>49</v>
      </c>
    </row>
    <row r="13" ht="40" customHeight="1" spans="1:11">
      <c r="A13" s="6">
        <v>11</v>
      </c>
      <c r="B13" s="6" t="s">
        <v>383</v>
      </c>
      <c r="C13" s="6" t="s">
        <v>384</v>
      </c>
      <c r="D13" s="6">
        <v>2010</v>
      </c>
      <c r="E13" s="6" t="s">
        <v>300</v>
      </c>
      <c r="F13" s="6" t="s">
        <v>385</v>
      </c>
      <c r="G13" s="6" t="s">
        <v>46</v>
      </c>
      <c r="H13" s="6" t="s">
        <v>386</v>
      </c>
      <c r="I13" s="6" t="s">
        <v>387</v>
      </c>
      <c r="J13" s="6" t="s">
        <v>41</v>
      </c>
      <c r="K13" s="6" t="s">
        <v>59</v>
      </c>
    </row>
    <row r="14" ht="40" customHeight="1" spans="1:11">
      <c r="A14" s="5">
        <v>12</v>
      </c>
      <c r="B14" s="5" t="s">
        <v>388</v>
      </c>
      <c r="C14" s="5" t="s">
        <v>389</v>
      </c>
      <c r="D14" s="5">
        <v>2012</v>
      </c>
      <c r="E14" s="5" t="s">
        <v>390</v>
      </c>
      <c r="F14" s="5" t="s">
        <v>391</v>
      </c>
      <c r="G14" s="5" t="s">
        <v>46</v>
      </c>
      <c r="H14" s="5" t="s">
        <v>392</v>
      </c>
      <c r="I14" s="5" t="s">
        <v>393</v>
      </c>
      <c r="J14" s="5" t="s">
        <v>41</v>
      </c>
      <c r="K14" s="5" t="s">
        <v>59</v>
      </c>
    </row>
    <row r="15" ht="40" customHeight="1" spans="1:11">
      <c r="A15" s="6">
        <v>13</v>
      </c>
      <c r="B15" s="6" t="s">
        <v>394</v>
      </c>
      <c r="C15" s="6" t="s">
        <v>395</v>
      </c>
      <c r="D15" s="6">
        <v>2020</v>
      </c>
      <c r="E15" s="6" t="s">
        <v>45</v>
      </c>
      <c r="F15" s="6" t="s">
        <v>17</v>
      </c>
      <c r="G15" s="6" t="s">
        <v>46</v>
      </c>
      <c r="H15" s="6" t="s">
        <v>47</v>
      </c>
      <c r="I15" s="6" t="s">
        <v>396</v>
      </c>
      <c r="J15" s="6" t="s">
        <v>41</v>
      </c>
      <c r="K15" s="6" t="s">
        <v>59</v>
      </c>
    </row>
    <row r="16" ht="40" customHeight="1" spans="1:11">
      <c r="A16" s="5">
        <v>14</v>
      </c>
      <c r="B16" s="5" t="s">
        <v>397</v>
      </c>
      <c r="C16" s="5" t="s">
        <v>398</v>
      </c>
      <c r="D16" s="5">
        <v>2018</v>
      </c>
      <c r="E16" s="5" t="s">
        <v>45</v>
      </c>
      <c r="F16" s="5" t="s">
        <v>17</v>
      </c>
      <c r="G16" s="5" t="s">
        <v>46</v>
      </c>
      <c r="H16" s="5" t="s">
        <v>47</v>
      </c>
      <c r="I16" s="5" t="s">
        <v>399</v>
      </c>
      <c r="J16" s="5" t="s">
        <v>41</v>
      </c>
      <c r="K16" s="5" t="s">
        <v>59</v>
      </c>
    </row>
    <row r="17" ht="40" customHeight="1" spans="1:11">
      <c r="A17" s="6">
        <v>15</v>
      </c>
      <c r="B17" s="6" t="s">
        <v>400</v>
      </c>
      <c r="C17" s="6" t="s">
        <v>401</v>
      </c>
      <c r="D17" s="6">
        <v>2024</v>
      </c>
      <c r="E17" s="6" t="s">
        <v>45</v>
      </c>
      <c r="F17" s="6" t="s">
        <v>17</v>
      </c>
      <c r="G17" s="6" t="s">
        <v>46</v>
      </c>
      <c r="H17" s="6" t="s">
        <v>47</v>
      </c>
      <c r="I17" s="6" t="s">
        <v>402</v>
      </c>
      <c r="J17" s="6" t="s">
        <v>41</v>
      </c>
      <c r="K17" s="6" t="s">
        <v>59</v>
      </c>
    </row>
    <row r="18" ht="40" customHeight="1" spans="1:11">
      <c r="A18" s="5">
        <v>16</v>
      </c>
      <c r="B18" s="5" t="s">
        <v>403</v>
      </c>
      <c r="C18" s="5" t="s">
        <v>404</v>
      </c>
      <c r="D18" s="5">
        <v>2001</v>
      </c>
      <c r="E18" s="5" t="s">
        <v>124</v>
      </c>
      <c r="F18" s="5" t="s">
        <v>405</v>
      </c>
      <c r="G18" s="5" t="s">
        <v>46</v>
      </c>
      <c r="H18" s="5" t="s">
        <v>406</v>
      </c>
      <c r="I18" s="5" t="s">
        <v>407</v>
      </c>
      <c r="J18" s="5" t="s">
        <v>41</v>
      </c>
      <c r="K18" s="5" t="s">
        <v>59</v>
      </c>
    </row>
    <row r="19" ht="40" customHeight="1" spans="1:11">
      <c r="A19" s="6">
        <v>17</v>
      </c>
      <c r="B19" s="6" t="s">
        <v>408</v>
      </c>
      <c r="C19" s="6" t="s">
        <v>409</v>
      </c>
      <c r="D19" s="6">
        <v>2025</v>
      </c>
      <c r="E19" s="6" t="s">
        <v>45</v>
      </c>
      <c r="F19" s="6" t="s">
        <v>17</v>
      </c>
      <c r="G19" s="6" t="s">
        <v>46</v>
      </c>
      <c r="H19" s="6" t="s">
        <v>47</v>
      </c>
      <c r="I19" s="6" t="s">
        <v>410</v>
      </c>
      <c r="J19" s="6" t="s">
        <v>41</v>
      </c>
      <c r="K19" s="6" t="s">
        <v>59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L1 - 基金经理背景特征</vt:lpstr>
      <vt:lpstr>L2 - 持仓偏离与Active Share</vt:lpstr>
      <vt:lpstr>L3 - 交易行为与Return Gap</vt:lpstr>
      <vt:lpstr>L4 - 行为偏差与认知</vt:lpstr>
      <vt:lpstr>L5 - AI预测与可预测性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26955</cp:lastModifiedBy>
  <dcterms:created xsi:type="dcterms:W3CDTF">2026-08-03T06:07:00Z</dcterms:created>
  <dcterms:modified xsi:type="dcterms:W3CDTF">2026-08-03T07:25:06Z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DA41B06C-335A-495B-A582-72C772F11C5E</vt:lpwstr>
  </property>
  <property fmtid="{D5CDD505-2E9C-101B-9397-08002B2CF9AE}" pid="3" name="ICV">
    <vt:lpwstr>FB8C845FC3A14AF4A11282F1834EEC51_12</vt:lpwstr>
  </property>
  <property fmtid="{D5CDD505-2E9C-101B-9397-08002B2CF9AE}" pid="4" name="KSOProductBuildVer">
    <vt:lpwstr>2052-12.8.2.18205</vt:lpwstr>
  </property>
</Properties>
</file>